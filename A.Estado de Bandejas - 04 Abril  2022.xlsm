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pulidoc\Desktop\A.Estado bandejas\"/>
    </mc:Choice>
  </mc:AlternateContent>
  <xr:revisionPtr revIDLastSave="0" documentId="13_ncr:1_{1D3E30AA-FD7F-44C7-A891-E64DE0591D00}" xr6:coauthVersionLast="47" xr6:coauthVersionMax="47" xr10:uidLastSave="{00000000-0000-0000-0000-000000000000}"/>
  <bookViews>
    <workbookView xWindow="-120" yWindow="-120" windowWidth="19440" windowHeight="15000" activeTab="2" xr2:uid="{00000000-000D-0000-FFFF-FFFF00000000}"/>
  </bookViews>
  <sheets>
    <sheet name="Informacion" sheetId="11" r:id="rId1"/>
    <sheet name="Data Anterior" sheetId="2" r:id="rId2"/>
    <sheet name="Data" sheetId="6" r:id="rId3"/>
    <sheet name="Resumen" sheetId="5" r:id="rId4"/>
    <sheet name="Festivos" sheetId="4" r:id="rId5"/>
  </sheets>
  <definedNames>
    <definedName name="_xlnm._FilterDatabase" localSheetId="2" hidden="1">Data!$A$3:$R$259</definedName>
    <definedName name="_xlnm._FilterDatabase" localSheetId="1" hidden="1">'Data Anterior'!$A$1:$S$501</definedName>
    <definedName name="_xlnm._FilterDatabase" localSheetId="4" hidden="1">Festivos!$G$1:$J$1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4" l="1"/>
  <c r="G1048567" i="6"/>
  <c r="E1048567" i="6"/>
  <c r="E17" i="4" l="1"/>
  <c r="M1048567" i="6" l="1"/>
  <c r="E16" i="4" l="1"/>
  <c r="E15" i="4"/>
  <c r="E14" i="4"/>
  <c r="E13" i="4"/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501" i="2" l="1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E12" i="4" l="1"/>
  <c r="E11" i="4"/>
  <c r="N1048567" i="6" l="1"/>
  <c r="M1048569" i="6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E10" i="4"/>
  <c r="E9" i="4"/>
  <c r="E8" i="4"/>
  <c r="E7" i="4"/>
  <c r="E6" i="4"/>
  <c r="E5" i="4"/>
  <c r="E4" i="4"/>
  <c r="E3" i="4"/>
  <c r="E2" i="4"/>
  <c r="F1048567" i="6"/>
  <c r="M1048568" i="6" l="1"/>
  <c r="H1048567" i="6"/>
  <c r="D1048567" i="6"/>
  <c r="J1048567" i="6" l="1"/>
  <c r="I1048567" i="6"/>
  <c r="L1048567" i="6" l="1"/>
  <c r="K1048567" i="6"/>
</calcChain>
</file>

<file path=xl/sharedStrings.xml><?xml version="1.0" encoding="utf-8"?>
<sst xmlns="http://schemas.openxmlformats.org/spreadsheetml/2006/main" count="7697" uniqueCount="914">
  <si>
    <t>Responsable</t>
  </si>
  <si>
    <t>Proceso No.</t>
  </si>
  <si>
    <t>Tipo</t>
  </si>
  <si>
    <t>Proceso</t>
  </si>
  <si>
    <t>Paso</t>
  </si>
  <si>
    <t>Asunto</t>
  </si>
  <si>
    <t>Descripcion</t>
  </si>
  <si>
    <t>Devolución</t>
  </si>
  <si>
    <t>NOVEDADES APORTES DE CESANTIAS</t>
  </si>
  <si>
    <t>Normal</t>
  </si>
  <si>
    <t>Asistentes FNA - Elaboración Novedad</t>
  </si>
  <si>
    <t>krivera</t>
  </si>
  <si>
    <t>Asistentes FNA</t>
  </si>
  <si>
    <t>aababativa</t>
  </si>
  <si>
    <t>Reasignación</t>
  </si>
  <si>
    <t>bquirogan</t>
  </si>
  <si>
    <t>hocampo</t>
  </si>
  <si>
    <t>jjleon</t>
  </si>
  <si>
    <t>caolarte</t>
  </si>
  <si>
    <t>Asistentes FNA - Ejecución Novedad</t>
  </si>
  <si>
    <t>Respuesta Asistentes FNA</t>
  </si>
  <si>
    <t>jlramirez</t>
  </si>
  <si>
    <t>mespejov</t>
  </si>
  <si>
    <t>pgcastillo</t>
  </si>
  <si>
    <t>Visto bueno</t>
  </si>
  <si>
    <t xml:space="preserve">Radicado: 28-2303-202202070003479 |  Número de Identificación: 8000183591 |  Nombre o Razón Social: BEL STAR SA BEL STAR SA |  País: COLOMBIA |  Departamento: BOGOTA |  Ciudad: BOGOTA |  Dirección: KM 22 AUTOP NORTE PARQUE INDUSTRIAL  CANAVITA |  Teléfono: 5930404 |  E-mail: glolopez@belcorp.biz |  Número de Folios : 0 |  Tipología: Apoyo Empresas |  Tipo de solicitud: Validacion de reporte |  Motivo: BEL STAR S. A.  - 800018359-1 caso RAD. 02-2303-202202030109914 |  Medio de recepción: Buzón Apoyo Empresas |  Requiere Modificación: No |  Tipo de Modificación: No Aplica |  Tipo de Empresa: Privada |  Tipo de Novedad: Monetaria Especial |  Estado del Proceso 1: Ok. Aprobado |  Usuario Responsable: Breidy Julieth Quiroga Noguera |  Estado del Proceso 2: Ok. Aprobado |  Resultado captura: Otras Solicitudes |  Respuesta procesamiento Cobis: Correo Electronico |  Estado del Proceso 5: Ok. Aprobado |  Causal de Devolución PNC: Correcto |  Requiere respuesta: No |  Radicado de Correspondencia Recibida: 02-2303-202202070125153 | </t>
  </si>
  <si>
    <t>DEVOLUCION DE APORTES</t>
  </si>
  <si>
    <t>NOVEDADES AVC MONETARIAS</t>
  </si>
  <si>
    <t>PQRD V3</t>
  </si>
  <si>
    <t>Gestor de Respuesta</t>
  </si>
  <si>
    <t>Gestor de Reparto</t>
  </si>
  <si>
    <t>Etiquetas de fila</t>
  </si>
  <si>
    <t>Total general</t>
  </si>
  <si>
    <t>Cuenta de Proceso</t>
  </si>
  <si>
    <t>Radicado</t>
  </si>
  <si>
    <t>Fecha Asig</t>
  </si>
  <si>
    <t>Hoy</t>
  </si>
  <si>
    <t>Días vencidos</t>
  </si>
  <si>
    <t>Mes</t>
  </si>
  <si>
    <t>Notificar</t>
  </si>
  <si>
    <t>Usuario Notificación</t>
  </si>
  <si>
    <t>Radicado Notificación</t>
  </si>
  <si>
    <t>Estado</t>
  </si>
  <si>
    <t>Observación</t>
  </si>
  <si>
    <t>PENDIENTE</t>
  </si>
  <si>
    <t>INCIDENCIA 172190</t>
  </si>
  <si>
    <t>PENDIENTE EJECUCIÓN MODIFICACIÓN DE DISPONIBLE</t>
  </si>
  <si>
    <t>EN REVISIÓN</t>
  </si>
  <si>
    <t>PENDIENTE ELABORACIÓN OP</t>
  </si>
  <si>
    <t>PENDIENTE RESPUESTA NOVEDAD</t>
  </si>
  <si>
    <t>PENDIENTE EJECUCIÓN NOVEDAD</t>
  </si>
  <si>
    <t>Cuenta de Responsable</t>
  </si>
  <si>
    <t>Etiquetas de columna</t>
  </si>
  <si>
    <t>Cuenta de Estado</t>
  </si>
  <si>
    <t>feb</t>
  </si>
  <si>
    <t>mar</t>
  </si>
  <si>
    <t>Cuenta de Usuario Notificación</t>
  </si>
  <si>
    <t>TOTAL</t>
  </si>
  <si>
    <t>FUNCIONARIO</t>
  </si>
  <si>
    <t>JULIETH QUIROGA</t>
  </si>
  <si>
    <t>JHONIER LEON</t>
  </si>
  <si>
    <t>nmesa</t>
  </si>
  <si>
    <t>28-2303-202202070003479</t>
  </si>
  <si>
    <t>PROCESO</t>
  </si>
  <si>
    <t>ESTADO</t>
  </si>
  <si>
    <t>PAULA CASTILLO</t>
  </si>
  <si>
    <t>PENDIENTE ELABORACIÓN NOVEDAD</t>
  </si>
  <si>
    <t>28-2303-202203090016171</t>
  </si>
  <si>
    <t>CONCILIACION SGP</t>
  </si>
  <si>
    <t>-&gt;&gt;</t>
  </si>
  <si>
    <t>FEBRERO</t>
  </si>
  <si>
    <t>NOTIFICAR</t>
  </si>
  <si>
    <t>MARZO</t>
  </si>
  <si>
    <t>EN GESTIÓN</t>
  </si>
  <si>
    <t>Fecha Ven</t>
  </si>
  <si>
    <t>lsierrac</t>
  </si>
  <si>
    <t>oreyesp</t>
  </si>
  <si>
    <t>28-2303-202203090016200</t>
  </si>
  <si>
    <t>Responsable 2</t>
  </si>
  <si>
    <t>OSCAR REYES</t>
  </si>
  <si>
    <t>USUARIO</t>
  </si>
  <si>
    <t>Paula Gineth Castillo Cruz</t>
  </si>
  <si>
    <t>Albeiro Alfonso Babativa Jimenez</t>
  </si>
  <si>
    <t>Breidy Julieth Quiroga Noguera</t>
  </si>
  <si>
    <t>Camilo Andres Olarte Diaz</t>
  </si>
  <si>
    <t>Kelly Johanna Rivera Sierra</t>
  </si>
  <si>
    <t>Hans Ocampo Fiscal</t>
  </si>
  <si>
    <t>Jhonier James Leon Guzman</t>
  </si>
  <si>
    <t>Mayra Johanna Espejo Vasquez</t>
  </si>
  <si>
    <t>USUARIOS</t>
  </si>
  <si>
    <t>NOMBRE</t>
  </si>
  <si>
    <t>---</t>
  </si>
  <si>
    <t>Pruebas</t>
  </si>
  <si>
    <t>PASO</t>
  </si>
  <si>
    <t>RADICACION</t>
  </si>
  <si>
    <t>N/A</t>
  </si>
  <si>
    <t>IMPRESIÓN Y FIRMA</t>
  </si>
  <si>
    <t>LLAVE</t>
  </si>
  <si>
    <t>ELIMINACION DE PAGO</t>
  </si>
  <si>
    <t>REGISTRO DE PAGO</t>
  </si>
  <si>
    <t>GENERACION ACTA SGP</t>
  </si>
  <si>
    <t>REVISION ACTA SANEAMIENTO</t>
  </si>
  <si>
    <t>NOVEDAD - INACTIVO</t>
  </si>
  <si>
    <t>FESTIVOS</t>
  </si>
  <si>
    <t>(Varios elementos)</t>
  </si>
  <si>
    <t>08-feb</t>
  </si>
  <si>
    <t>POR MES</t>
  </si>
  <si>
    <t>PENDIENTES X USUARIO NOTIFICACION</t>
  </si>
  <si>
    <t>POR FECHA - DIAS</t>
  </si>
  <si>
    <t>arodriguez</t>
  </si>
  <si>
    <t>28-2303-202203100016337</t>
  </si>
  <si>
    <t>28-2303-202203100016338</t>
  </si>
  <si>
    <t>28-2303-202203100016410</t>
  </si>
  <si>
    <t>28-2303-202203100016465</t>
  </si>
  <si>
    <t>10-mar</t>
  </si>
  <si>
    <t>6-DEVOLUCION DE APORTES</t>
  </si>
  <si>
    <t>PENDIENTE AUTORIZAR TVA</t>
  </si>
  <si>
    <t/>
  </si>
  <si>
    <t>PENDIENTE APROBACION OP</t>
  </si>
  <si>
    <t>efloreza</t>
  </si>
  <si>
    <t>28-2303-202203120017336</t>
  </si>
  <si>
    <t>11-mar</t>
  </si>
  <si>
    <t>Emely Alejandra Florez Alvarez</t>
  </si>
  <si>
    <t>Abdon Armando Rodriguez Herrera</t>
  </si>
  <si>
    <t>dcastros</t>
  </si>
  <si>
    <t>agodoy</t>
  </si>
  <si>
    <t>Jose Luis Ramirez Vela</t>
  </si>
  <si>
    <t>Ledher Julian Martin Sierra Cristancho</t>
  </si>
  <si>
    <t>Andrea Yaneth Godoy Murcia</t>
  </si>
  <si>
    <t>Diana Milena Castro Sanchez</t>
  </si>
  <si>
    <t>NEW ESTADO</t>
  </si>
  <si>
    <t>Asistentes FNA - Elaboración Orden de Pago</t>
  </si>
  <si>
    <t xml:space="preserve">Radicado: 28-2303-202203100016465 |  Número de Identificación: 517275767 |  Nombre o Razón Social: CASSIANO SANCHEZ LIGIA LUCIA |  País: COLOMBIA |  Departamento: BOGOTA |  Ciudad: BOGOTA |  Dirección: CR 21 # 137 - 05 |  Teléfono: 2742647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02-2303-202203100330627 | </t>
  </si>
  <si>
    <t>28-2303-202203150017985</t>
  </si>
  <si>
    <t>28-2303-202203110017085</t>
  </si>
  <si>
    <t>15-mar</t>
  </si>
  <si>
    <t>Oscar Ramiro Reyes Prada</t>
  </si>
  <si>
    <t>lsuareza</t>
  </si>
  <si>
    <t xml:space="preserve">Radicado: 28-2303-202203100016338 |  Número de Identificación: 1176370 |  Nombre o Razón Social: URDAETA PEREZ CARLOS EDUARDO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02-2303-202203100328068 | </t>
  </si>
  <si>
    <t>28-4705-202203160018285</t>
  </si>
  <si>
    <t>28-2303-202203170018372</t>
  </si>
  <si>
    <t>28-2303-202203160018307</t>
  </si>
  <si>
    <t>16-mar</t>
  </si>
  <si>
    <t>Luz Angela Suarez Aparicio</t>
  </si>
  <si>
    <t>28-2303-202203180018632</t>
  </si>
  <si>
    <t>28-2303-202203170018608</t>
  </si>
  <si>
    <t>JOSE RAMIREZ</t>
  </si>
  <si>
    <t>17-mar</t>
  </si>
  <si>
    <t>28-2303-202203180018950</t>
  </si>
  <si>
    <t>LEIDER JULIAN SIERRA</t>
  </si>
  <si>
    <t xml:space="preserve">Radicado: 28-2303-202203150017985 |  Número de Identificación: 345519628 |  Nombre o Razón Social: PANADERIA Y PASTELERIA ANGELICAL Y O GARCIA VARELA GLORIA INES |  País: COLOMBIA |  Departamento: CAUCA |  Ciudad: POPAYAN |  Dirección: CL 70 # 19 - 153 BRR BELLO HORIZONTE |  Teléfono: 3164926392 |  E-mail: efra152010@gmail.com |  Número de Folios : 0 |  Tipología: Devolucion de Aportes |  Requiere Modificación: Si |  Tipo de Modificación: Disponible |  Tipo de Empresa: Privada |  Tipo de Novedad: Monetaria |  Estado del Proceso 1: Ok. Aprobado |  Requiere Cargue/Novedad: No |  Estado del Proceso 2: Ok. Aprobado |  Estado del Proceso 4: Dev. Devuelto |  Respuesta procesamiento Cobis: Correo Electronico |  Radicado de Correspondencia Recibida: 02-2303-202203150360789 | </t>
  </si>
  <si>
    <t>28-2303-202203180018703</t>
  </si>
  <si>
    <t>28-2303-202203180019065</t>
  </si>
  <si>
    <t>28-4703-202203220019255</t>
  </si>
  <si>
    <t>28-2303-202203220019327</t>
  </si>
  <si>
    <t>28-2303-202203230019423</t>
  </si>
  <si>
    <t>28-2303-202202240012587</t>
  </si>
  <si>
    <t>28-2303-202203180018678</t>
  </si>
  <si>
    <t>28-2303-202203230019478</t>
  </si>
  <si>
    <t>28-2303-202203240019591</t>
  </si>
  <si>
    <t>28-2303-202203240019601</t>
  </si>
  <si>
    <t>28-2303-202203230019449</t>
  </si>
  <si>
    <t>28-4604-202203140017577</t>
  </si>
  <si>
    <t>28-2303-202203170018559</t>
  </si>
  <si>
    <t>28-2303-202203180018800</t>
  </si>
  <si>
    <t>28-2303-202203230019539</t>
  </si>
  <si>
    <t>28-4601-202203160018293</t>
  </si>
  <si>
    <t>28-2303-202203230019580</t>
  </si>
  <si>
    <t xml:space="preserve">Radicado: 28-2303-202202190009713 |  Número de Identificación: 414268050 |  Nombre o Razón Social: TRUJILLO DE CAMACHO MARIA OFELIA |  País: COLOMBIA |  Departamento: BOGOTA |  Ciudad: BOGOTA |  Dirección: KM 7 VIA ARMENIA EL CAINO LAGSD DE IRAKA CASA 142 |  Teléfono: 3133670907 |  E-mail: LAMONACAMACHO@HOTMAIL.COM |  Número de Folios : 1 |  Tipología: Planilla Manual |  Estado del Proceso 1: Devuelto Planilla Manual |  Usuario Responsable: Caren Milena Prieto Espinosa |  Requiere respuesta: No |  Radicado de Correspondencia Recibida: 02-2303-202202190200696 | </t>
  </si>
  <si>
    <t>28-2303-202202190009713</t>
  </si>
  <si>
    <t>28-2303-202203170018467</t>
  </si>
  <si>
    <t>28-2303-202203240019698</t>
  </si>
  <si>
    <t>28-2303-202203240019762</t>
  </si>
  <si>
    <t>28-2303-202203240019625</t>
  </si>
  <si>
    <t>28-2303-202203240019784</t>
  </si>
  <si>
    <t>23-mar</t>
  </si>
  <si>
    <t>24-mar</t>
  </si>
  <si>
    <t xml:space="preserve">Radicado: 28-2303-202203170018372 |  Número de Identificación: 9004075082 |  Nombre o Razón Social: WAP INGENIERIA SAS |  País: COLOMBIA |  Departamento: ANTIOQUIA |  Ciudad: MEDELLIN |  Dirección: CL 58 A # 24 - 16 |  Teléfono: 2546406 |  E-mail: wapingenieria1@gmail.com |  Número de Folios : 0 |  Tipología: Apoyo Empresas |  Tipo de solicitud: Verificación de archivo |  Motivo: VERIFICAR PAGO DE CESANTÍAS DEL EMPLEADO  |  Medio de recepción: Buzón Apoyo Empresas |  Requiere Modificación: No |  Tipo de Modificación: No Aplica |  Tipo de Empresa: Privada |  Tipo de Novedad: No Monetaria |  Estado del Proceso 1: Ok. Aprobado |  Usuario Responsable: Breidy Julieth Quiroga Noguera |  Resultado captura: Otras Solicitudes |  Respuesta procesamiento Cobis: Correo Electronico |  Requiere respuesta: No |  Radicado de Correspondencia Recibida: 02-2303-202203170370057 | </t>
  </si>
  <si>
    <t xml:space="preserve">Radicado: 28-4604-202203140017577 |  Número de Identificación: 52415239 |  Nombre o Razón Social: CACERES HERNANDEZ ROSANA |  País: COLOMBIA |  Departamento: BOGOTA |  Ciudad: BOGOTA |  Dirección: CL 132-A #89-50 AP 120 BLOQUE 11 |  Teléfono: 5387866 |  E-mail: nicolaspachon2@hotmail.com |  Número de Folios : 3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02-4604-202203140353021 | </t>
  </si>
  <si>
    <t>28-2303-202203250020058</t>
  </si>
  <si>
    <t>28-4805-202203240019764</t>
  </si>
  <si>
    <t>28-2303-202203250019944</t>
  </si>
  <si>
    <t>28-4703-202203250019999</t>
  </si>
  <si>
    <t>28-4902-202203250019931</t>
  </si>
  <si>
    <t>28-2303-202203250020065</t>
  </si>
  <si>
    <t>28-4706-202203250019926</t>
  </si>
  <si>
    <t>28-4601-202203240019633</t>
  </si>
  <si>
    <t>28-2303-202203250019947</t>
  </si>
  <si>
    <t>28-2303-202203250019962</t>
  </si>
  <si>
    <t>28-4703-202203250019930</t>
  </si>
  <si>
    <t>28-2303-202203240019581</t>
  </si>
  <si>
    <t>28-2303-202203250020022</t>
  </si>
  <si>
    <t>28-2303-202203250020029</t>
  </si>
  <si>
    <t>28-4603-202203250019936</t>
  </si>
  <si>
    <t>28-4701-202203250019949</t>
  </si>
  <si>
    <t>28-4702-202203250019943</t>
  </si>
  <si>
    <t>28-2303-202203250020039</t>
  </si>
  <si>
    <t>28-2303-202203180019056</t>
  </si>
  <si>
    <t>28-2303-202203250020043</t>
  </si>
  <si>
    <t>28-4902-202203250020019</t>
  </si>
  <si>
    <t>28-2303-202203260020109</t>
  </si>
  <si>
    <t>28-2303-202203260020110</t>
  </si>
  <si>
    <t>28-4301-202203260020093</t>
  </si>
  <si>
    <t>28-2303-202203260020129</t>
  </si>
  <si>
    <t>27-mar</t>
  </si>
  <si>
    <t xml:space="preserve">Radicado: 28-2303-202203230019478 |  Número de Identificación: 9004447172 |  Nombre o Razón Social: CONEXIA SAS |  País: COLOMBIA |  Departamento: BOGOTA |  Ciudad: BOGOTA |  Dirección: CR 9 #77-67 PISO 6 OF 601 |  Teléfono: 4852664 |  E-mail: administracion-col@conexia.com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02-2303-202203230401831 | </t>
  </si>
  <si>
    <t xml:space="preserve">Radicado: 28-2303-202203240019591 |  Número de Identificación: 9003446594 |  Nombre o Razón Social: JMO INGENIERIA SAS |  País: COLOMBIA |  Departamento: VALLE DEL CAUCA |  Ciudad: CALI |  Dirección: CALLE 14C # 65-120 BLOQ 8-102 |  Teléfono: 3128696 |  E-mail: jmoingenieriasas@gmail.com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02-2303-202203240406289 | </t>
  </si>
  <si>
    <t xml:space="preserve">Radicado: 28-2303-202203280020327 |  Número de Identificación: 9004442537 |  Nombre o Razón Social: JGS Y ASOCIADOS SAS JGS |  País: COLOMBIA |  Departamento: BOGOTA |  Ciudad: BOGOTA |  Dirección: CR 7 #71-21 TORRE B OFICINA 1502 |  Teléfono: 3135970 |  E-mail: bponomina@jgs.com.co |  Número de Folios : 0 |  Tipología: Devolucion de Aportes |  Radicado de Correspondencia Recibida: 02-2303-202203280432431 | </t>
  </si>
  <si>
    <t xml:space="preserve">Radicado: 28-4703-202203250019930 |  Número de Identificación: 24333442 |  Nombre o Razón Social: MONTOYA AGUDELO MINI JOHANA |  País: COLOMBIA |  Departamento: CALDAS |  Ciudad: MANIZALES |  Dirección: CR 24 #15-37 |  Teléfono: 3146347525 |  E-mail: johanamontoyaagudelo54@gmail.com |  Número de Folios : 2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02-4703-202203250415958 | </t>
  </si>
  <si>
    <t xml:space="preserve">Radicado: 28-2303-202203250020029 |  Número de Identificación: 1007328981 |  Nombre o Razón Social: SERGIO ALEXANDER LLANES PEREZ |  País: COLOMBIA |  Departamento: BOGOTA |  Ciudad: BOGOTA |  Dirección: CR 113 N # 18 A - 97 |  Teléfono: 3227862047 |  E-mail: sergioaperez985@gmail.com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02-2303-202203250420506 | </t>
  </si>
  <si>
    <t>28-2303-202203280020156</t>
  </si>
  <si>
    <t>28-2303-202203280020327</t>
  </si>
  <si>
    <t>28-2303-202203280020142</t>
  </si>
  <si>
    <t>28-2303-202203280020150</t>
  </si>
  <si>
    <t>28-2303-202203280020206</t>
  </si>
  <si>
    <t>28-2303-202203280020232</t>
  </si>
  <si>
    <t>28-2303-202203280020244</t>
  </si>
  <si>
    <t>28-2303-202203280020272</t>
  </si>
  <si>
    <t>28-2303-202203260020073</t>
  </si>
  <si>
    <t>28-4701-202203280020194</t>
  </si>
  <si>
    <t>28-2303-202203280020309</t>
  </si>
  <si>
    <t>28-2303-202203280020335</t>
  </si>
  <si>
    <t>28-2303-202203280020144</t>
  </si>
  <si>
    <t>28-2303-202203280020183</t>
  </si>
  <si>
    <t>28-2303-202203280020227</t>
  </si>
  <si>
    <t>28-2303-202203280020243</t>
  </si>
  <si>
    <t>28-2303-202203280020248</t>
  </si>
  <si>
    <t>28-2303-202203250020011</t>
  </si>
  <si>
    <t>28-2303-202203280020250</t>
  </si>
  <si>
    <t>28-2303-202203280020345</t>
  </si>
  <si>
    <t>28-mar</t>
  </si>
  <si>
    <t xml:space="preserve">Radicado: 28-2303-202203290020407 |  Número de Identificación: 9007971271 |  Nombre o Razón Social: DOCE PUBLICIDAD SAS |  País: COLOMBIA |  Departamento: BOGOTA |  Ciudad: BOGOTA |  Dirección: CR 72 # 24 C - 34 IN 704 BL 4 |  Teléfono: 3206799857 |  E-mail: docepublicidad1@gmail.com |  Número de Folios : 0 |  Tipología: Devolucion de Aportes |  Radicado de Correspondencia Recibida: 02-2303-202203290434041 | </t>
  </si>
  <si>
    <t xml:space="preserve">Radicado: 28-2303-202203290020465 |  Número de Identificación: 9010490713 |  Nombre o Razón Social: FINCA HACIENDA LA MESA SAS |  País: COLOMBIA |  Departamento: BOGOTA |  Ciudad: BOGOTA |  Dirección: CL 185 # 45 - 03 OFI 812 |  Teléfono: 3144768143 |  E-mail: logistica@mercadeoeinformacion.com |  Número de Folios : 0 |  Tipología: Devolucion de Aportes |  Radicado de Correspondencia Recibida: 02-2303-202203290436080 | </t>
  </si>
  <si>
    <t xml:space="preserve">Radicado: 28-2303-202203290020476 |  Número de Identificación: 8000451770 |  Nombre o Razón Social: NATUFLORA LTDA NATUFLORA LTDA |  País: COLOMBIA |  Departamento: BOGOTA |  Ciudad: BOGOTA |  Dirección: CL 30 A # 6 - 22 OF 31 |  Teléfono: 8246004 |  E-mail: contabi@natuflora.net |  Número de Folios : 0 |  Tipología: Devolucion de Aportes |  Radicado de Correspondencia Recibida: 02-2303-202203290436849 | </t>
  </si>
  <si>
    <t xml:space="preserve">Radicado: 28-2303-202203290020483 |  Número de Identificación: 9003572960 |  Nombre o Razón Social: SOMHER S.A.S. IPS |  País: COLOMBIA |  Departamento: BOGOTA |  Ciudad: BOGOTA |  Dirección: CL 91 19C 55 |  Teléfono: 0 |  E-mail: solproeu@hotmail.com |  Número de Folios : 0 |  Tipología: Devolucion de Aportes |  Radicado de Correspondencia Recibida: 02-2303-202203290437001 | </t>
  </si>
  <si>
    <t xml:space="preserve">Radicado: 28-2303-202203290020525 |  Número de Identificación: 9012848446 |  Nombre o Razón Social: PERFILES Y SOLUCIONES TECNOLOGICAS SAS |  País: COLOMBIA |  Departamento: BOGOTA |  Ciudad: BOGOTA |  Dirección: 0 |  Teléfono: 0 |  E-mail: edwin.ardilac@proteccion.com.co |  Número de Folios : 0 |  Tipología: Devolucion de Aportes |  Radicado de Correspondencia Recibida: 02-2303-202203290438561 | </t>
  </si>
  <si>
    <t xml:space="preserve">Radicado: 28-2303-202203290020551 |  Número de Identificación: 77045893 |  Nombre o Razón Social: LOPEZ FREDY |  País: COLOMBIA |  Departamento: BOGOTA |  Ciudad: BOGOTA |  Dirección: CARRERA 20 # 42 A 25 SUR SANTA LUCIA |  Teléfono: 3165628420 |  E-mail: sgsstaseoliquidos@gmail.com |  Número de Folios : 0 |  Tipología: Devolucion de Aportes |  Radicado de Correspondencia Recibida: 02-2303-202203290439457 | </t>
  </si>
  <si>
    <t xml:space="preserve">Radicado: 28-2303-202203280020357 |  Número de Identificación: 373962041 |  Nombre o Razón Social: GAMEZ RODRIGUEZ LEYDI  |  País: COLOMBIA |  Departamento: SANTANDER |  Ciudad: BUCARAMANGA |  Dirección: CL 22 16 28 BRR NUEVA GRANADA |  Teléfono: 3184937994 |  E-mail: LEIDY1984GAMEZ@GMAIL.COM |  Número de Folios : 0 |  Tipología: Apoyo Empresas |  Tipo de solicitud: Validacion de reporte |  Motivo: SOLICITUD |  Medio de recepción: Buzón Apoyo Empresas |  Estado del Proceso 1: Ok. Aprobado |  Resultado captura: Otras Solicitudes |  Requiere respuesta: No |  Radicado de Correspondencia Recibida: 02-2303-202203280432621 | </t>
  </si>
  <si>
    <t xml:space="preserve">Radicado: 28-2303-202203290020585 |  Número de Identificación: 77045893 |  Nombre o Razón Social: LOPEZ FREDY |  País: COLOMBIA |  Departamento: BOGOTA |  Ciudad: BOGOTA |  Dirección: CARRERA 20 # 42 A 25 SUR SANTA LUCIA |  Teléfono: 3165628420 |  E-mail: sgsstaseoliquidos@gmail.com |  Número de Folios : 0 |  Tipología: Devolucion de Aportes |  Radicado de Correspondencia Recibida: 02-2303-202203290440784 | </t>
  </si>
  <si>
    <t xml:space="preserve">Radicado: 28-2303-202203300020623 |  Número de Identificación: 804206969 |  Nombre o Razón Social: CMC INGENIEROS |  País: COLOMBIA |  Departamento: BOGOTA |  Ciudad: BOGOTA |  Dirección: CR 17 # 103 - 43 AP 201 |  Teléfono: 3158313348 |  E-mail: administracion@cmcingenieros.com |  Número de Folios : 0 |  Tipología: Devolucion de Aportes |  Radicado de Correspondencia Recibida: 02-2303-202203300441051 | </t>
  </si>
  <si>
    <t xml:space="preserve">Radicado: 28-2303-202203290020375 |  Número de Identificación: 900880506 |  Nombre o Razón Social: EUROFERT COLOMBIANA SAS |  País: COLOMBIA |  Departamento: BOGOTA |  Ciudad: BOGOTA |  Dirección: 0 |  Teléfono: 8928025 |  E-mail: recepcion@eurofertcolombia.com |  Número de Folios : 0 |  Tipología: Novedades Aportes de Cesantias |  Radicado de Correspondencia Recibida: 02-2303-202203290432796 | </t>
  </si>
  <si>
    <t xml:space="preserve">Radicado: 28-4603-202203280020222 |  Número de Identificación: 79688014 |  Nombre o Razón Social: SANCHEZ GUEVARA CARLOS ALBER |  País: COLOMBIA |  Departamento: BOGOTA |  Ciudad: BOGOTA |  Dirección: AK 19 154-41 |  Teléfono: 3165374700 |  E-mail: CSANCHEZG1@YAHOO.COM |  Número de Folios : 2 |  Tipología: Novedades Aportes de Cesantias |  Radicado de Correspondencia Recibida: 02-4603-202203280429356 | </t>
  </si>
  <si>
    <t xml:space="preserve">Radicado: 28-2303-202203290020415 |  Número de Identificación: 8907000408 |  Nombre o Razón Social: FERRETERIA GODOY LTDA |  País: COLOMBIA |  Departamento: TOLIMA |  Ciudad: IBAGUE |  Dirección: CL 18 A N # 1 - 45 OF 55 |  Teléfono: 2610555 |  E-mail: adm1ferregodoy@gmail.com |  Número de Folios : 0 |  Tipología: Novedades Aportes de Cesantias |  Radicado de Correspondencia Recibida: 02-2303-202203290434532 | </t>
  </si>
  <si>
    <t xml:space="preserve">Radicado: 28-2303-202203170018559 |  Número de Identificación: 3131412 |  Nombre o Razón Social: RODRIGUEZ RODRIGUEZ  URIEL |  País: COLOMBIA |  Departamento: CUNDINAMARCA |  Ciudad: PUERTO SALGAR |  Dirección: CR 12 # 8 A - 38 |  Teléfono: 3113425194 |  E-mail: urielrodriguez8@hotmail.com |  Número de Folios : 0 |  Tipología: Apoyo Empresas |  Tipo de solicitud: Inconsistencias |  Motivo:  Cargue de cesantías NIT 3131412-4 |  Medio de recepción: Buzón Apoyo Empresas |  Estado del Proceso 1: Ok. Aprobado |  Usuario Responsable: Rodolfo Aguirre Fuentes |  Resultado captura: Otras Solicitudes |  Requiere respuesta: No |  Radicado de Correspondencia Recibida: 02-2303-202203170375428 | </t>
  </si>
  <si>
    <t xml:space="preserve">Radicado: 28-2303-202203290020439 |  Número de Identificación: 1054559718 |  Nombre o Razón Social: OSPINA SALDANA MIGUEL ANGEL |  País: COLOMBIA |  Departamento: CALDAS |  Ciudad: LA DORADA |  Dirección: CR 5 A # 39 - 171 |  Teléfono: 3137849408 |  E-mail: MIGUEL.OSPINA90@GMAIL.COM |  Número de Folios : 0 |  Tipología: Novedades Aportes de Cesantias |  Radicado de Correspondencia Recibida: 02-2303-202203290435067 | </t>
  </si>
  <si>
    <t xml:space="preserve">Radicado: 28-2303-202203290020445 |  Número de Identificación: 9003849971 |  Nombre o Razón Social: DIRECCION EJECUTIVA DE LA JUSTICIA PENAL MILITAR MINDEFENSA |  País: COLOMBIA |  Departamento: BOGOTA |  Ciudad: BOGOTA |  Dirección: CR 10 # 26 - 71 EDF RES TEQUENDAMA TORRE SUR PISO 9 |  Teléfono: 3426299 |  E-mail: henry.meza@justiciamilitar.gov.co |  Número de Folios : 1 |  Tipología: Cargue de Aportes Entidades Publicas Y Privadas y/o Modificacion de Aportes o Disponible |  Radicado de Correspondencia Recibida: 02-2303-202203290435295 | </t>
  </si>
  <si>
    <t xml:space="preserve">Radicado: 28-4603-202203280020226 |  Número de Identificación: 52231632 |  Nombre o Razón Social: VARGAS LOPEZ RUBY CELENY |  País: COLOMBIA |  Departamento: BOGOTA |  Ciudad: BOGOTA |  Dirección: CL 90CSUR # 1-40 |  Teléfono: 3212284288 |  E-mail: VARGASRUBY415@GMAIL.COM |  Número de Folios : 2 |  Tipología: Novedades Aportes de Cesantias |  Radicado de Correspondencia Recibida: 02-4603-202203280429407 | </t>
  </si>
  <si>
    <t xml:space="preserve">Radicado: 28-2303-202203280020183 |  Número de Identificación: 9004056225 |  Nombre o Razón Social: VIOBTRANS MP SAS VIOBTRANS SAS |  País: COLOMBIA |  Departamento: BOGOTA |  Ciudad: BOGOTA |  Dirección: CR 68 D # 40 - 53 SUR |  Teléfono: 4664522 |  E-mail: jrptransporteylogistica@gmail.com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02-2303-202203280427392 | </t>
  </si>
  <si>
    <t xml:space="preserve">Radicado: 28-2303-202203280020188 |  Número de Identificación: 9010288686 |  Nombre o Razón Social: SOLUCIONES INNOVADORAS EN TEGNOLOGIA DE LA INFORMACION SAS |  País: COLOMBIA |  Departamento: MAGDALENA |  Ciudad: SANTA MARTA |  Dirección: CR 4 # 19 - 49 |  Teléfono: 0 |  E-mail: bertha.vanegas@sitiapp.com |  Número de Folios : 0 |  Tipología: Novedades Aportes de Cesantias |  Tipo de solicitud: Validacion de reporte |  Motivo: RV: SOLUCIONES INNOVADORAS EN TECNOLOGIAS DE LA INFORMACION -9010288686 - Solicitud de soportes |  Medio de recepción: Buzón Apoyo Empresas |  Radicado de Correspondencia Recibida: 02-2303-202203280427619 | </t>
  </si>
  <si>
    <t xml:space="preserve">Radicado: 28-2303-202203090016117 |  Número de Identificación: 11053657392 |  Nombre o Razón Social: JOYERIA TOPACIO |  País: COLOMBIA |  Departamento: GUAVIARE |  Ciudad: SAN JOSE DEL GUAVIARE |  Dirección: CL 8 # 22 - 18 |  Teléfono: 3124785478 |  E-mail: ferroguaviare20@gmail.com |  Número de Folios : 0 |  Tipología: Novedades Aportes de Cesantias |  Requiere Modificación: No |  Tipo de Modificación: No Aplica |  Tipo de Empresa: Privada |  Tipo de Novedad: Monetaria |  Estado del Proceso 1: Dev. Devuelto |  Usuario Responsable: Jhonier James Leon Guzman |  Respuesta procesamiento Cobis: Correo Electronico |  Radicado de Correspondencia Recibida: 02-2303-202203090321266 | </t>
  </si>
  <si>
    <t xml:space="preserve">Radicado: 28-2303-202203290020472 |  Número de Identificación: 36067327 |  Nombre o Razón Social: ORTIZ CAVIEDES YULIETH MILENA |  País: COLOMBIA |  Departamento: HUILA |  Ciudad: NEIVA |  Dirección: CL 29 # 1 B - W 16 |  Teléfono: 3185937743 |  E-mail: MILENA2118@HOTMAIL.COM |  Número de Folios : 0 |  Tipología: Novedades Aportes de Cesantias |  Radicado de Correspondencia Recibida: 02-2303-202203290436569 | </t>
  </si>
  <si>
    <t xml:space="preserve">Radicado: 28-2303-202203260020110 |  Número de Identificación: 1032481816 |  Nombre o Razón Social: DALLY YUJAHINA DALEL REINA |  País: COLOMBIA |  Departamento: VICHADA |  Ciudad: PUERTO CARREÑO |  Dirección: CR 6 # 18 - 57 |  Teléfono: 3112974154 |  E-mail: plazacentro2009@hotmail.com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02-2303-202203260422346 | </t>
  </si>
  <si>
    <t xml:space="preserve">Radicado: 28-4601-202203280020293 |  Número de Identificación: 860005428 |  Nombre o Razón Social: ARRIENDOS COLOMBIA MD SAS  |  País: COLOMBIA |  Departamento: BOGOTA |  Ciudad: BOGOTA |  Dirección: CR 38 12  B 58  |  Teléfono: 3112057279 |  E-mail: arriendosltdafincaraiz12@hotmail.com |  Número de Folios : 14 |  Tipología: Novedades Aportes de Cesantias |  Radicado de Correspondencia Recibida: 02-4601-202203280431707 | </t>
  </si>
  <si>
    <t xml:space="preserve">Radicado: 28-2303-202203290020529 |  Número de Identificación: 89999906198 |  Nombre o Razón Social: UNIDAD ADMINISTRATIVA ESP CUERPO OFICIAL BOMBEROS |  País: COLOMBIA |  Departamento: BOGOTA |  Ciudad: BOGOTA |  Dirección: CALLE 20 # 68 a 06 |  Teléfono: 3822500 |  E-mail: lballesteros@bomberosbogota.gov.co |  Número de Folios : 1 |  Tipología: Novedades Aportes de Cesantias |  Radicado de Correspondencia Recibida: 02-2303-202203290438711 | </t>
  </si>
  <si>
    <t xml:space="preserve">Radicado: 28-2303-202203290020530 |  Número de Identificación: 9005498774 |  Nombre o Razón Social: LAZOS DE AMOR HOGARES COMUNITARIOS DEL ICBF |  País: COLOMBIA |  Departamento: BOGOTA |  Ciudad: BOGOTA |  Dirección: CR 76A #59B-03 SU |  Teléfono: 4684594 |  Número de Folios : 0 |  Tipología: Novedades Aportes de Cesantias |  Radicado de Correspondencia Recibida: 02-2303-202203290438728 | </t>
  </si>
  <si>
    <t xml:space="preserve">Radicado: 28-2303-202203290020544 |  Número de Identificación: 901216537 |  Nombre o Razón Social: SANILAB IPS SAS |  País: COLOMBIA |  Departamento: CUNDINAMARCA |  Ciudad: ZIPAQUIRA |  Dirección: CR 10 A # 6 - 90 |  Teléfono: 0 |  E-mail: contabilidadsanilabips@gmail.com |  Número de Folios : 0 |  Tipología: Novedades Aportes de Cesantias |  Radicado de Correspondencia Recibida: 02-2303-202203290439245 | </t>
  </si>
  <si>
    <t xml:space="preserve">Radicado: 28-4701-202203290020438 |  Número de Identificación: 15514970 |  Nombre o Razón Social: JUAN FERNANDO ECHEVERRY ZAPATA |  País: COLOMBIA |  Departamento: ANTIOQUIA |  Ciudad: COPACABANA |  Dirección: CL 38A # 50A -21 |  Teléfono: 3214307769 |  E-mail: JFERNANDO2327@HOTMAIL.COM |  Número de Folios : 2 |  Tipología: Novedades Aportes de Cesantias |  Radicado de Correspondencia Recibida: 02-4701-202203290435048 | </t>
  </si>
  <si>
    <t xml:space="preserve">Radicado: 28-4302-202203290020495 |  Número de Identificación: 9085152 |  Nombre o Razón Social: DIAZ PALENCIA GUSTADO ADOLFO |  País: COLOMBIA |  Departamento: BOLIVAR |  Ciudad: CARTAGENA |  Dirección: CL 2 #3 LOTE 43 |  Teléfono: 0 |  E-mail: na@na.com |  Número de Folios : 2 |  Tipología: Novedades Aportes de Cesantias |  Radicado de Correspondencia Recibida: 02-4302-202203290437431 | </t>
  </si>
  <si>
    <t xml:space="preserve">Radicado: 28-4302-202203290020496 |  Número de Identificación: 45761558 |  Nombre o Razón Social: MARIA DELROSARIO CASTRO TATIS |  País: COLOMBIA |  Departamento: BOLIVAR |  Ciudad: CARTAGENA |  Dirección: CR 8 B   25   56 |  Teléfono: 2605031 |  E-mail: na@na.com |  Número de Folios : 2 |  Tipología: Novedades Aportes de Cesantias |  Radicado de Correspondencia Recibida: 02-4302-202203290437452 | </t>
  </si>
  <si>
    <t xml:space="preserve">Radicado: 28-4603-202203290020421 |  Número de Identificación: 53121970 |  Nombre o Razón Social: ECHEVERRY GUDINO LUZ HELENA |  País: COLOMBIA |  Departamento: BOGOTA |  Ciudad: BOGOTA |  Dirección: KR 44 A 19 C 87 APTO 301 BL A |  Teléfono: 7292528 |  E-mail: LUZHELENAECHEVERRY@HOTMAIL.COM |  Número de Folios : 2 |  Tipología: Novedades Aportes de Cesantias |  Radicado de Correspondencia Recibida: 02-4603-202203290434680 | </t>
  </si>
  <si>
    <t xml:space="preserve">Radicado: 28-4603-202203290020422 |  Número de Identificación: 63525382 |  Nombre o Razón Social: GAMBOA SUAREZ NOHEMI |  País: COLOMBIA |  Departamento: BOGOTA |  Ciudad: BOGOTA |  Dirección: CLL 29 SUR 11 D 22 |  Teléfono: 3197803185 |  E-mail: ABOGADA.SUAREZ21@GMAIL.COM |  Número de Folios : 3 |  Tipología: Novedades Aportes de Cesantias |  Radicado de Correspondencia Recibida: 02-4603-202203290434703 | </t>
  </si>
  <si>
    <t xml:space="preserve">Radicado: 28-4603-202203290020426 |  Número de Identificación: 79368726 |  Nombre o Razón Social: FRANCISCO  MEDINA CARDONA |  País: COLOMBIA |  Departamento: BOGOTA |  Ciudad: BOGOTA |  Dirección: CRA 73 56 A 45 |  Teléfono: 3138578292 |  Número de Folios : 2 |  Tipología: Novedades Aportes de Cesantias |  Radicado de Correspondencia Recibida: 02-4603-202203290434748 | </t>
  </si>
  <si>
    <t xml:space="preserve">Radicado: 28-4603-202203290020427 |  Número de Identificación: 80135679 |  Nombre o Razón Social: RUBIANO  BRAYAN |  País: COLOMBIA |  Departamento: BOGOTA |  Ciudad: BOGOTA |  Dirección: CLL 77 B N 129-70 |  Teléfono: 3004026915 |  E-mail: RUBIANO.BRAYAN@GMAIL.COM |  Número de Folios : 3 |  Tipología: Novedades Aportes de Cesantias |  Radicado de Correspondencia Recibida: 02-4603-202203290434767 | </t>
  </si>
  <si>
    <t xml:space="preserve">Radicado: 28-4603-202203290020511 |  Número de Identificación: 1003776879 |  Nombre o Razón Social: GARZON ARIAS NATALIA |  País: COLOMBIA |  Departamento: BOGOTA |  Ciudad: BOGOTA |  Dirección: CRA 7 74-21 |  Teléfono: 3219055999 |  E-mail: NATISYDUVIS18@GMAIL.COM |  Número de Folios : 7 |  Tipología: Novedades Aportes de Cesantias |  Radicado de Correspondencia Recibida: 02-4603-202203290438142 | </t>
  </si>
  <si>
    <t xml:space="preserve">Radicado: 28-2303-202203160018305 |  Número de Identificación: 57300210 |  Nombre o Razón Social: PUENTE AVENDAÑO SERGIO ANDRES |  País: COLOMBIA |  Departamento: BOGOTA |  Ciudad: BOGOTA |  Dirección: sin datos |  Teléfono: sin datos |  E-mail: sin datos |  Número de Folios : 1 |  Tipología: Novedades Aportes de Cesantias |  Tipo de solicitud: Inconsistencias |  Motivo: se solicita corrección tipo de doc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02-2303-202203160368207 | </t>
  </si>
  <si>
    <t xml:space="preserve">Radicado: 28-4604-202203290020402 |  Número de Identificación: 11205908 |  Nombre o Razón Social: PENA MALDONADO JUAN MAURICIO |  País: COLOMBIA |  Departamento: BOGOTA |  Ciudad: BOGOTA |  Dirección: DG 81 I #72 A 18 |  Teléfono: 5357740 |  Número de Folios : 3 |  Tipología: Novedades Aportes de Cesantias |  Radicado de Correspondencia Recibida: 02-4604-202203290433927 | </t>
  </si>
  <si>
    <t xml:space="preserve">Radicado: 28-2303-202203290020575 |  Número de Identificación: 8001039277 |  Nombre o Razón Social: GOBERNACION DEL NORTE DE SANTANDER |  País: COLOMBIA |  Departamento: NORTE DE SANTANDER |  Ciudad: CUCUTA |  Dirección: AV 5 CL 13 Y 14 CENTRO |  Teléfono: 9757105 |  E-mail: ekarime.jaimes@nortedesantander.gov.co |  Número de Folios : 0 |  Tipología: Novedades Aportes de Cesantias |  Radicado de Correspondencia Recibida: 02-2303-202203290440697 | </t>
  </si>
  <si>
    <t xml:space="preserve">Radicado: 28-4803-202203290020457 |  Número de Identificación: 98370679 |  Nombre o Razón Social: NASNER  WILLIAM EDWING |  País: COLOMBIA |  Departamento: NARIÑO |  Ciudad: PASTO |  Dirección: VRD BOTANA # CA 5 SEC CATAMBUCO  |  Teléfono: 0 |  Número de Folios : 2 |  Tipología: Novedades Aportes de Cesantias |  Radicado de Correspondencia Recibida: 02-4803-202203290435688 | </t>
  </si>
  <si>
    <t xml:space="preserve">Radicado: 28-4803-202203290020497 |  Número de Identificación: 35464663 |  Nombre o Razón Social: ROJAS ROJAS CARMENZA |  País: COLOMBIA |  Departamento: NARIÑO |  Ciudad: PASTO |  Dirección: KR 40 16 21 BR SANTA ANA BR SA |  Teléfono: 0 |  Número de Folios : 3 |  Tipología: Novedades Aportes de Cesantias |  Radicado de Correspondencia Recibida: 02-4803-202203290437525 | </t>
  </si>
  <si>
    <t xml:space="preserve">Radicado: 28-4902-202203290020393 |  Número de Identificación: 9008350521 |  Nombre o Razón Social: URBANA INGENERIA S.A.S |  País: COLOMBIA |  Departamento: CAQUETA |  Ciudad: FLORENCIA |  Dirección: CR 15 5 B- 13 # CENTRO |  Teléfono: 4343807 |  E-mail: REINOSOINGENIERIA@GMAIL.COM |  Número de Folios : 4 |  Tipología: Novedades Aportes de Cesantias |  Radicado de Correspondencia Recibida: 02-4902-202203290433466 | </t>
  </si>
  <si>
    <t xml:space="preserve">Radicado: 28-4905-202203290020555 |  Número de Identificación: 20618935 |  Nombre o Razón Social: ESPINOSA FLOR MARIA |  País: COLOMBIA |  Departamento: CUNDINAMARCA |  Ciudad: AGUA DE DIOS |  Dirección: CR 10 # 10A - 69 |  Teléfono: 3202756280 |  Número de Folios : 2 |  Tipología: Novedades Aportes de Cesantias |  Radicado de Correspondencia Recibida: 02-4905-202203290439788 | </t>
  </si>
  <si>
    <t xml:space="preserve">Radicado: 28-2303-202203290020590 |  Número de Identificación: 8600040301 |  Nombre o Razón Social: R B DE COLOMBIA SA |  País: COLOMBIA |  Departamento: BOGOTA |  Ciudad: BOGOTA |  Dirección: CR 14 # 75 77 OF 701 |  Teléfono: 2102004 |  Número de Folios : 0 |  Tipología: Novedades Aportes de Cesantias |  Radicado de Correspondencia Recibida: 02-2303-202203290440812 | </t>
  </si>
  <si>
    <t xml:space="preserve">Radicado: 28-2303-202203290020599 |  Número de Identificación: 52499122  |  Nombre o Razón Social: RABA MARIN MARTA |  País: COLOMBIA |  Departamento: BOGOTA |  Ciudad: BOGOTA |  Dirección: CL 69 B BIS # 22 32 SUR |  Teléfono: 3704063 |  Número de Folios : 0 |  Tipología: Novedades Aportes de Cesantias |  Radicado de Correspondencia Recibida: 02-2303-202203290440852 | </t>
  </si>
  <si>
    <t xml:space="preserve">Radicado: 28-2303-202203300020610 |  Número de Identificación: 901052647 |  Nombre o Razón Social: ACRIMAGEN SOLUCIONES ARQUITECTONICAS Y PUBLICITARI |  País: COLOMBIA |  Departamento: BOGOTA |  Ciudad: BOGOTA |  Dirección: 0 |  Teléfono: 0 |  E-mail: informacionacrimagen@gmail.com |  Número de Folios : 0 |  Tipología: Novedades Aportes de Cesantias |  Radicado de Correspondencia Recibida: 02-2303-202203300440995 | </t>
  </si>
  <si>
    <t xml:space="preserve">Radicado: 28-2303-202203300020627 |  Número de Identificación: 901216537 |  Nombre o Razón Social: SANILAB IPS SAS |  País: COLOMBIA |  Departamento: CUNDINAMARCA |  Ciudad: ZIPAQUIRA |  Dirección: CR 10 A # 6 - 90 |  Teléfono: 8903121 |  Número de Folios : 0 |  Tipología: Cargue de Aportes Entidades Publicas Y Privadas y/o Modificacion de Aportes o Disponible |  Radicado de Correspondencia Recibida: 02-2303-202203300441072 | </t>
  </si>
  <si>
    <t>28-2303-202203290020407</t>
  </si>
  <si>
    <t>28-2303-202203290020465</t>
  </si>
  <si>
    <t>28-2303-202203290020476</t>
  </si>
  <si>
    <t>28-2303-202203290020483</t>
  </si>
  <si>
    <t>28-2303-202203290020525</t>
  </si>
  <si>
    <t>28-2303-202203290020551</t>
  </si>
  <si>
    <t>28-2303-202203280020357</t>
  </si>
  <si>
    <t>28-2303-202203290020585</t>
  </si>
  <si>
    <t>28-2303-202203300020623</t>
  </si>
  <si>
    <t>28-2303-202203290020375</t>
  </si>
  <si>
    <t>28-2303-202203290020397</t>
  </si>
  <si>
    <t>28-4702-202203280020209</t>
  </si>
  <si>
    <t>28-2303-202203280020350</t>
  </si>
  <si>
    <t>28-2303-202203290020410</t>
  </si>
  <si>
    <t>28-4603-202203280020222</t>
  </si>
  <si>
    <t>28-4603-202203280020223</t>
  </si>
  <si>
    <t>28-2303-202203290020415</t>
  </si>
  <si>
    <t>28-2303-202203290020416</t>
  </si>
  <si>
    <t>28-2303-202203290020439</t>
  </si>
  <si>
    <t>28-2303-202203290020445</t>
  </si>
  <si>
    <t>28-4603-202203280020226</t>
  </si>
  <si>
    <t>28-2303-202203280020188</t>
  </si>
  <si>
    <t>28-2303-202203090016117</t>
  </si>
  <si>
    <t>28-4805-202203280020214</t>
  </si>
  <si>
    <t>28-2303-202203290020472</t>
  </si>
  <si>
    <t>28-2303-202203290020474</t>
  </si>
  <si>
    <t>28-2303-202203290020478</t>
  </si>
  <si>
    <t>28-2303-202203280020294</t>
  </si>
  <si>
    <t>28-2303-202203290020501</t>
  </si>
  <si>
    <t>28-2303-202203260020117</t>
  </si>
  <si>
    <t>28-4601-202203280020293</t>
  </si>
  <si>
    <t>28-2303-202203290020526</t>
  </si>
  <si>
    <t>28-2303-202203290020529</t>
  </si>
  <si>
    <t>28-2303-202203290020530</t>
  </si>
  <si>
    <t>28-2303-202203130017344</t>
  </si>
  <si>
    <t>28-2303-202203290020544</t>
  </si>
  <si>
    <t>28-4701-202203290020438</t>
  </si>
  <si>
    <t>28-2303-202203290020554</t>
  </si>
  <si>
    <t>28-4302-202203290020495</t>
  </si>
  <si>
    <t>28-4302-202203290020496</t>
  </si>
  <si>
    <t>28-4603-202203290020421</t>
  </si>
  <si>
    <t>28-4603-202203290020422</t>
  </si>
  <si>
    <t>28-4603-202203290020426</t>
  </si>
  <si>
    <t>28-4603-202203290020427</t>
  </si>
  <si>
    <t>28-4603-202203290020430</t>
  </si>
  <si>
    <t>28-4603-202203290020511</t>
  </si>
  <si>
    <t>28-2303-202203160018305</t>
  </si>
  <si>
    <t>28-4604-202203290020402</t>
  </si>
  <si>
    <t>28-2303-202203290020575</t>
  </si>
  <si>
    <t>28-4803-202203290020457</t>
  </si>
  <si>
    <t>28-4803-202203290020497</t>
  </si>
  <si>
    <t>28-4804-202203290020450</t>
  </si>
  <si>
    <t>28-4902-202203290020393</t>
  </si>
  <si>
    <t>28-4905-202203290020555</t>
  </si>
  <si>
    <t>28-4905-202203290020557</t>
  </si>
  <si>
    <t>28-2303-202203290020581</t>
  </si>
  <si>
    <t>28-2303-202203290020590</t>
  </si>
  <si>
    <t>28-2303-202203290020599</t>
  </si>
  <si>
    <t>28-2303-202203300020610</t>
  </si>
  <si>
    <t>28-2303-202203300020627</t>
  </si>
  <si>
    <t>29-mar</t>
  </si>
  <si>
    <t xml:space="preserve">Radicado: 28-2303-202203300020684 |  Número de Identificación: 901034854 |  Nombre o Razón Social: TBTB GLOBAL LAB SAS |  País: COLOMBIA |  Departamento: BOGOTA |  Ciudad: BOGOTA |  Dirección: CL 116 # 9 - 72 |  Teléfono: 3204722058 |  E-mail: estevan.rodriguez@tbtbglobal.com |  Número de Folios : 0 |  Tipología: Devolucion de Aportes |  Radicado de Correspondencia Recibida: 02-2303-202203300442809 | </t>
  </si>
  <si>
    <t xml:space="preserve">Radicado: 28-2303-202203300020687 |  Número de Identificación: 9014389121 |  Nombre o Razón Social: PROYECTOS DE TECNOLOGIA Y MOVILIDAD SAS |  País: COLOMBIA |  Departamento: ANTIOQUIA |  Ciudad: MEDELLIN |  Dirección: CR 43 A # 18 - 135 SUR LC 341 A |  Teléfono: 0 |  E-mail: dircontabilidad@concesionariosimit.com |  Número de Folios : 0 |  Tipología: Devolucion de Aportes |  Radicado de Correspondencia Recibida: 02-2303-202203300442941 | </t>
  </si>
  <si>
    <t xml:space="preserve">Radicado: 28-2303-202203180018950 |  Número de Identificación: 900746078 |  Nombre o Razón Social: TEAM INTERNATIONAL SAS |  País: COLOMBIA |  Departamento: ANTIOQUIA |  Ciudad: MEDELLIN |  Dirección: CR 42 # 3 SUR - 81 TR 01 OFI 1105 |  Teléfono: 6040433 |  E-mail: Anyi.Alvarez@teaminternational.com |  Número de Folios : 0 |  Tipología: Devolucion de Aportes |  Requiere Modificación: No |  Tipo de Modificación: No Aplica |  Tipo de Empresa: Privada |  Tipo de Novedad: Monetaria |  Estado del Proceso 1: Ok. Aprobado |  Requiere Cargue/Novedad: No |  Estado del Proceso 4: Ok. Aprobado |  Respuesta procesamiento Cobis: Correo Electronico |  Radicado de Correspondencia Recibida: 02-2303-202203180383719 | </t>
  </si>
  <si>
    <t xml:space="preserve">Radicado: 28-2303-202203300020704 |  Número de Identificación: 9003538804 |  Nombre o Razón Social: CENTRO DE SOLUCIONES CONTABLES Y FINANCIERAS ESPECIALIZADAS S.A.S |  País: COLOMBIA |  Departamento: BOLIVAR |  Ciudad: CARTAGENA |  Dirección: 0 |  Teléfono: 3007715837 |  E-mail: asistente@cesconsas.com |  Número de Folios : 0 |  Tipología: Devolucion de Aportes |  Radicado de Correspondencia Recibida: 02-2303-202203300443717 | </t>
  </si>
  <si>
    <t xml:space="preserve">Radicado: 28-2303-202203300020750 |  Número de Identificación: 900782606 |  Nombre o Razón Social: DERIVADOS DEL ALAMBRE DERALAM SAS |  País: COLOMBIA |  Departamento: BOGOTA |  Ciudad: BOGOTA |  Dirección: 0 |  Teléfono: 3183729070 |  E-mail: deralam.gestionhumana@gmail.com |  Número de Folios : 0 |  Tipología: Devolucion de Aportes |  Radicado de Correspondencia Recibida: 02-2303-202203300445463 | </t>
  </si>
  <si>
    <t xml:space="preserve">Radicado: 28-2303-202203300020800 |  Número de Identificación: 811008963 |  Nombre o Razón Social: MULTIENLACE SAS |  País: COLOMBIA |  Departamento: ANTIOQUIA |  Ciudad: MEDELLIN |  Dirección: CALLE 8 B # 65 191 LC 231 |  Teléfono: 5105700 |  E-mail: diana.villa@allus.com.co |  Número de Folios : 0 |  Tipología: Devolucion de Aportes |  Radicado de Correspondencia Recibida: 02-2303-202203300446935 | </t>
  </si>
  <si>
    <t xml:space="preserve">Radicado: 28-2303-202203020014695 |  Número de Identificación: 8600073354 |  Nombre o Razón Social: BANCO CAJA SOCIAL SA |  País: COLOMBIA |  Departamento: BOGOTA |  Ciudad: BOGOTA |  Dirección: AK 7 # 77 - 65 |  Teléfono: 3138000 |  E-mail: desperanza@fundaciongruposocial.co |  Número de Folios : 0 |  Tipología: Devolucion de Aportes |  Requiere Modificación: No |  Tipo de Modificación: No Aplica |  Tipo de Empresa: Privada |  Tipo de Novedad: Monetaria |  Estado del Proceso 1: Ok. Aprobado |  Requiere Cargue/Novedad: No |  Estado del Proceso 4: Ok. Aprobado |  Respuesta procesamiento Cobis: Correo Electronico |  Radicado de Correspondencia Recibida: 02-2303-202203020272997 | </t>
  </si>
  <si>
    <t xml:space="preserve">Radicado: 28-2303-202203300020819 |  Número de Identificación: 8902066115 |  Nombre o Razón Social: DISTRIBUIDORA  RAYCO |  País: COLOMBIA |  Departamento: SANTANDER |  Ciudad: BUCARAMANGA |  Dirección: AV.4  7-72 |  Teléfono: 5834130 |  E-mail: colfondostrasladospv-ces@iq-online.com |  Número de Folios : 0 |  Tipología: Devolucion de Aportes |  Radicado de Correspondencia Recibida: 02-2303-202203300447508 | </t>
  </si>
  <si>
    <t xml:space="preserve">Radicado: 28-2303-202203300020842 |  Número de Identificación: 20370207 |  Nombre o Razón Social: LOMBANA MORENO LUZ DARY |  País: COLOMBIA |  Departamento: BOGOTA |  Ciudad: BOGOTA |  Dirección: CL 150 # 45 - 49 |  Teléfono: 3215084945 |  E-mail: surtidor146@gmail.com |  Número de Folios : 0 |  Tipología: Devolucion de Aportes |  Radicado de Correspondencia Recibida: 02-2303-202203300448578 | </t>
  </si>
  <si>
    <t xml:space="preserve">Radicado: 28-2303-202203250020026 |  Número de Identificación: 9009278871 |  Nombre o Razón Social: NEFROCHOCO S.A.S |  País: COLOMBIA |  Departamento: CHOCO |  Ciudad: QUIBDO |  Dirección: CR 8 # 29 - 30 |  Teléfono: 6716440 |  Número de Folios : 0 |  Tipología: Planilla Manual |  Radicado de Correspondencia Recibida: 02-2303-202203250420385 | </t>
  </si>
  <si>
    <t xml:space="preserve">Radicado: 28-2303-202203300020665 |  Número de Identificación: 1036614304 |  Nombre o Razón Social: VALLEJO RESTREPO LINA MARCELA |  País: COLOMBIA |  Departamento: BOGOTA |  Ciudad: BOGOTA |  Dirección: sin datos |  Teléfono: sin datos |  E-mail: sin datos |  Número de Folios : 1 |  Tipología: Novedades Aportes de Cesantias |  Tipo de solicitud: Inconsistencias |  Motivo: se solicita corrección tipo de documento |  Radicado de Correspondencia Recibida: 02-2303-202203300442257 | </t>
  </si>
  <si>
    <t xml:space="preserve">Radicado: 28-2303-202203300020694 |  Número de Identificación: 1012426502 |  Nombre o Razón Social: SANCHEZ LOZADA SEBASTIAN |  País: COLOMBIA |  Departamento: BOGOTA |  Ciudad: BOGOTA |  Dirección: CL 7 A BIS # 79 D - 31 EL CONDADO |  Teléfono: 3046701856 |  E-mail: ssebastiansanchez@gmail.com |  Número de Folios : 0 |  Tipología: Novedades Aportes de Cesantias |  Radicado de Correspondencia Recibida: 02-2303-202203300443173 | </t>
  </si>
  <si>
    <t xml:space="preserve">Radicado: 28-2303-202203300020721 |  Número de Identificación: 9003877010 |  Nombre o Razón Social: LABORATORIO DE COSMETICOS LIDER OM SAS LIDER OM |  País: COLOMBIA |  Departamento: TOLIMA |  Ciudad: IBAGUE |  Dirección: CR 12 # 37 - 04 |  Teléfono: 2702120 |  E-mail: cosmeticoslider_om@hotmail.com |  Número de Folios : 0 |  Tipología: Novedades Aportes de Cesantias |  Radicado de Correspondencia Recibida: 02-2303-202203300444351 | </t>
  </si>
  <si>
    <t xml:space="preserve">Radicado: 28-2303-202203120017336 |  Número de Identificación: 79697131 |  Nombre o Razón Social: MANRIQUE DIAZ SERGIO ANDRES |  País: COLOMBIA |  Departamento: BOGOTA |  Ciudad: BOGOTA |  Dirección: CR 13 # 93 12  OF 201/501 |  Teléfono: 6219333 |  E-mail: NOTIENE@HOTMAIL.COM |  Número de Folios : 1 |  Tipología: Novedades Aportes de Cesantias |  Requiere Modificación: No |  Tipo de Modificación: No Aplica |  Tipo de Empresa: Privada |  Tipo de Novedad: Monetaria Especial |  Estado del Proceso 1: Ok. Aprobado |  Usuario Responsable: Jhonier James Leon Guzman |  Respuesta procesamiento Cobis: Correo Electronico |  Radicado de Correspondencia Recibida: 02-2303-202203120346398 | </t>
  </si>
  <si>
    <t xml:space="preserve">Radicado: 28-2303-202203300020754 |  Número de Identificación: 9007534815 |  Nombre o Razón Social: ARIAS DUQUE GROUP SAS |  País: COLOMBIA |  Departamento: BOGOTA |  Ciudad: BOGOTA |  Dirección: AVENIDA CALLE 86 # 24-54 |  Teléfono: 6918638 |  Número de Folios : 0 |  Tipología: Novedades Aportes de Cesantias |  Radicado de Correspondencia Recibida: 02-2303-202203300445499 | </t>
  </si>
  <si>
    <t xml:space="preserve">Radicado: 28-2303-202203300020777 |  Número de Identificación: 1144074966  |  Nombre o Razón Social: GAVIRIA MORA YAJAIRA |  País: COLOMBIA |  Departamento: PUTUMAYO |  Ciudad: MOCOA |  Dirección: B/ PEÑON |  Teléfono: 3204962826 |  Número de Folios : 0 |  Tipología: Novedades Aportes de Cesantias |  Radicado de Correspondencia Recibida: 02-2303-202203300445939 | </t>
  </si>
  <si>
    <t xml:space="preserve">Radicado: 28-2303-202203290020554 |  Número de Identificación: 8002474385 |  Nombre o Razón Social: DISLACTEOS LOS ALPES SAS |  País: COLOMBIA |  Departamento: BOGOTA |  Ciudad: BOGOTA |  Dirección: CL 19A No.96C 24 |  Teléfono: 3102254681 |  E-mail: los_alpes_ltda@yahoo.com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02-2303-202203290439665 | </t>
  </si>
  <si>
    <t xml:space="preserve">Radicado: 28-2303-202203290020581 |  Número de Identificación: 986660542 |  Nombre o Razón Social: TALLER ARCO Y O CAMILO HERNANDO HOYOS MARTINEZ |  País: COLOMBIA |  Departamento: CHOCO |  Ciudad: QUIBDO |  Dirección: CR 1 # 32 - 12 |  Teléfono: 0 |  E-mail: janyimore@hotmail.com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02-2303-202203290440767 | </t>
  </si>
  <si>
    <t xml:space="preserve">Radicado: 28-2303-202203280020263 |  Número de Identificación: 8110230248  |  Nombre o Razón Social: PINTURAS ASTECA LTDA |  País: COLOMBIA |  Departamento: BOGOTA |  Ciudad: BOGOTA |  Dirección: CL 29 #45 87 |  Teléfono: 2610844 |  E-mail: administracion@aztecapinturas.com |  Número de Folios : 0 |  Tipología: Apoyo Empresas |  Tipo de solicitud: Validacion de reporte |  Motivo: 
VALIDAR PAGO 
 |  Medio de recepción: Buzón Apoyo Empresas |  Estado del Proceso 1: Ok. Aprobado |  Resultado captura: Otras Solicitudes |  Requiere respuesta: No |  Radicado de Correspondencia Recibida: 02-2303-202203280430152 | </t>
  </si>
  <si>
    <t xml:space="preserve">Radicado: 28-2303-202203300020801 |  Número de Identificación: 1075668160 |  Nombre o Razón Social: RIANO QUINTERO CAMILO ANDRES |  País: COLOMBIA |  Departamento: CUNDINAMARCA |  Ciudad: ZIPAQUIRA |  Dirección: CL 4 # 17 100  |  Teléfono: 0 |  Número de Folios : 0 |  Tipología: Novedades Aportes de Cesantias |  Radicado de Correspondencia Recibida: 02-2303-202203300446975 | </t>
  </si>
  <si>
    <t xml:space="preserve">Radicado: 28-2303-202203170018467 |  Número de Identificación: 31920715 |  Nombre o Razón Social: LUZ ALBA QUICENO LOPEZ |  País: COLOMBIA |  Departamento: BOGOTA |  Ciudad: BOGOTA |  Dirección: CL 26 A   38   39 |  Teléfono: 3332054 |  E-mail: jgalvarez@valledelcauca.gov.co |  Número de Folios : 1 |  Tipología: Novedades Aportes de Cesantias |  Requiere Modificación: No |  Tipo de Modificación: No Aplica |  Tipo de Empresa: Publica |  Tipo de Novedad: No Monetaria |  Estado del Proceso 1: Ok. Aprobado |  Usuario Responsable: Breidy Julieth Quiroga Noguera |  Estado del Proceso 3: Ok. Aprobado |  Respuesta procesamiento Cobis: Correo Electronico |  Radicado de Correspondencia Recibida: 02-2303-202203170373410 | </t>
  </si>
  <si>
    <t xml:space="preserve">Radicado: 28-4603-202203290020430 |  Número de Identificación: 1019076784 |  Nombre o Razón Social: FERNEY ANDRES ROJAS HERNANDEZ |  País: COLOMBIA |  Departamento: BOGOTA |  Ciudad: BOGOTA |  Dirección: CLL 75  70-33 |  Teléfono: 3144868406 |  E-mail: farh921123@gmail.com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02-4603-202203290434797 | </t>
  </si>
  <si>
    <t xml:space="preserve">Radicado: 28-4902-202203250019931 |  Número de Identificación: 55117386 |  Nombre o Razón Social: CIELO  CHACON SALDANA |  País: COLOMBIA |  Departamento: CAQUETA |  Ciudad: FLORENCIA |  Dirección: CARRERA 15 # 3A BIS 70 |  Teléfono: 3112028508 |  E-mail: CICHASA@HOTMAIL.COM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02-4902-202203250416195 | </t>
  </si>
  <si>
    <t xml:space="preserve">Radicado: 28-4301-202203300020714 |  Número de Identificación: 1091674113 |  Nombre o Razón Social: TORRES YARURO JULIANHERNANDO |  País: COLOMBIA |  Departamento: ATLANTICO |  Ciudad: BARRANQUILLA |  Dirección: CR 65 N 48 -156 |  Teléfono: 3229702863 |  E-mail: NANDO.TY@HOTMAIL.COM |  Número de Folios : 2 |  Tipología: Novedades Aportes de Cesantias |  Radicado de Correspondencia Recibida: 02-4301-202203300444053 | </t>
  </si>
  <si>
    <t xml:space="preserve">Radicado: 28-4301-202203300020716 |  Número de Identificación: 72152481 |  Nombre o Razón Social: CASTANO PONZON JULIO RAFAEL |  País: COLOMBIA |  Departamento: ATLANTICO |  Ciudad: BARRANQUILLA |  Dirección: CR 41 # 32 - 19 |  Teléfono: 3126687094 |  E-mail: JULIO0721@HOTMAIL.COM |  Número de Folios : 2 |  Tipología: Novedades Aportes de Cesantias |  Radicado de Correspondencia Recibida: 02-4301-202203300444095 | </t>
  </si>
  <si>
    <t xml:space="preserve">Radicado: 28-4805-202203240019764 |  Número de Identificación: 1060361327 |  Nombre o Razón Social: DAZA  YENCY VERONICA |  País: COLOMBIA |  Departamento: VALLE DEL CAUCA |  Ciudad: CALI |  Dirección: CRA 12N  11-55 B/CENTENARIO |  Teléfono: 3137917852 |  E-mail: VEROCAICEDO1601@GMAIL.COM |  Número de Folios : 11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02-4805-202203240411384 | </t>
  </si>
  <si>
    <t xml:space="preserve">Radicado: 28-2303-202203230019539 |  Número de Identificación: 8915800168 |  Nombre o Razón Social: GOBERNACION DEL CAUCA |  País: COLOMBIA |  Departamento: CAUCA |  Ciudad: POPAYAN |  Dirección: CR 6 # 3 - 82 |  Teléfono: 8244201 |  E-mail: seguridadsocial@cauca.gov.co |  Número de Folios : 0 |  Tipología: Novedades Aportes de Cesantias |  Requiere Modificación: No |  Tipo de Modificación: No Aplica |  Tipo de Empresa: Publica |  Tipo de Novedad: Autorizacion TVA |  Estado del Proceso 1: Ok. Aprobado |  Usuario Responsable: Jhonier James Leon Guzman |  Estado del Proceso 2: Ok. Aprobado |  Respuesta procesamiento Cobis: Correo Electronico |  Radicado de Correspondencia Recibida: 02-2303-202203230403512 | </t>
  </si>
  <si>
    <t xml:space="preserve">Radicado: 28-2303-202203220019327 |  Número de Identificación: 8002174971 |  Nombre o Razón Social: DISTRIBUIDORA NACIONAL DE COMBUSTIBLES LTDA |  País: COLOMBIA |  Departamento: BOGOTA |  Ciudad: BOGOTA |  Dirección: CL 4B #57A-20 |  Teléfono: 4201239 |  E-mail: nacionaldecombustibles@yahoo.com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02-2303-202203220397468 | </t>
  </si>
  <si>
    <t xml:space="preserve">Radicado: 28-2303-202203300020823 |  Número de Identificación: 1123635785 |  Nombre o Razón Social: MARTINEZ DIAZ NASMILE MARYURY |  País: COLOMBIA |  Departamento: ISLAS |  Ciudad: SAN ANDRES |  Dirección: SECTOR LOMA BARKERS HILL |  Teléfono: 3160441139 |  Número de Folios : 0 |  Tipología: Novedades Aportes de Cesantias |  Radicado de Correspondencia Recibida: 02-2303-202203300447563 | </t>
  </si>
  <si>
    <t xml:space="preserve">Radicado: 28-4706-202203250019926 |  Número de Identificación: 1095929006 |  Nombre o Razón Social: BRAYAN FERNEY MATEUS GALVES |  País: COLOMBIA |  Departamento: SANTANDER |  Ciudad: BUCARAMANGA |  Dirección: CR 14C   9-20 |  Teléfono: 3177193423 |  E-mail: BRAYITAN29@HOTMAIL.COM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02-4706-202203250415592 | </t>
  </si>
  <si>
    <t xml:space="preserve">Radicado: 28-4702-202203250019943 |  Número de Identificación: 24196980 |  Nombre o Razón Social: RODRIGUEZ CRUZ MARTHA CECILIA |  País: COLOMBIA |  Departamento: BOYACA |  Ciudad: TUNJA |  Dirección: CL 7G 19-21 |  Teléfono: 3107430910 |  E-mail: SANTAINES1962@GMAIL.COM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02-4702-202203250417223 | </t>
  </si>
  <si>
    <t xml:space="preserve">Radicado: 28-2303-202203260020109 |  Número de Identificación: 20523095 |  Nombre o Razón Social: MENDOZA ARANGURE MARIAN DAINEL |  País: COLOMBIA |  Departamento: BOGOTA |  Ciudad: BOGOTA |  Dirección: CL 12 # 11-45 |  Teléfono: 0 |  E-mail: MARIANMENDOZA015@GMAIL.COM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02-2303-202203260422329 | </t>
  </si>
  <si>
    <t xml:space="preserve">Radicado: 28-2303-202203260020117 |  Número de Identificación: 10276987 |  Nombre o Razón Social: MUÑOZ MARIN ALFREDO |  País: COLOMBIA |  Departamento: CALDAS |  Ciudad: MANIZALES |  Dirección: CR 24 #10 - 35 |  Teléfono: 8958589 |  E-mail: alusam1097@hotmail.com |  Número de Folios : 0 |  Tipología: Apoyo Empresas |  Tipo de solicitud: Validacion de reporte |  Motivo: Solicitud  de devolucion  Cesasantias Diana Gonzalez |  Medio de recepción: Buzón Apoyo Empresas |  Requiere Modificación: No |  Tipo de Modificación: No Aplica |  Tipo de Empresa: Privada |  Tipo de Novedad: No Monetaria |  Estado del Proceso 1: Ok. Aprobado |  Usuario Responsable: Ledher Julian Martin Sierra Cristancho |  Estado del Proceso 3: Ok. Aprobado |  Resultado captura: Otras Solicitudes |  Respuesta procesamiento Cobis: Correo Electronico |  Requiere respuesta: No |  Radicado de Correspondencia Recibida: 02-2303-202203260424032 | </t>
  </si>
  <si>
    <t xml:space="preserve">Radicado: 28-2303-202203250020022 |  Número de Identificación: 43905486 |  Nombre o Razón Social: GIRALDO ARROYABE DIANA PATRICIA |  País: COLOMBIA |  Departamento: ANTIOQUIA |  Ciudad: MEDELLIN |  Dirección: CL 112 B # 67 - 11 INT 301 |  Teléfono: 3013819145 |  E-mail: DIANAW2508@HOTMAIL.COM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Oscar  Ramiro Reyes Prada |  Respuesta procesamiento Cobis: Correo Electronico |  Radicado de Correspondencia Recibida: 02-2303-202203250420021 | </t>
  </si>
  <si>
    <t xml:space="preserve">Radicado: 28-4703-202203250019999 |  Número de Identificación: 9010856002 |  Nombre o Razón Social: INVERSIONES H Y M SAS |  País: COLOMBIA |  Departamento: CALDAS |  Ciudad: MANIZALES |  Dirección: CARRERA 23 22 18 |  Teléfono: 3204932215 |  E-mail: valeriaariasp14@gmail.com |  Número de Folios : 6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02-4703-202203250419115 | </t>
  </si>
  <si>
    <t xml:space="preserve">Radicado: 28-2303-202203180018703 |  Número de Identificación: 52700974 |  Nombre o Razón Social: RAMIREZ RODRIGUEZ NATALIA CATALINA  |  País: COLOMBIA |  Departamento: BOGOTA |  Ciudad: BOGOTA |  Dirección: CL 79 A 8AP |  Teléfono: 0 |  E-mail: N/A |  Número de Folios : 1 |  Tipología: Planilla Manual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Requiere respuesta: No |  Radicado de Correspondencia Recibida: 02-2303-202203180379329 | </t>
  </si>
  <si>
    <t xml:space="preserve">Radicado: 28-2303-202203280020232 |  Número de Identificación: 1001132887 |  Nombre o Razón Social: DAZA MUÑOZ CRISTIAN ALEJANDRO |  País: COLOMBIA |  Departamento: ANTIOQUIA |  Ciudad: MEDELLIN |  Dirección: CR 28 # 68B 75  |  Teléfono: 3022294387 |  E-mail: n/a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02-2303-202203280429775 | </t>
  </si>
  <si>
    <t xml:space="preserve">Radicado: 28-2303-202203250020039 |  Número de Identificación: 8909172951 |  Nombre o Razón Social: COLORQUIMICA SA |  País: COLOMBIA |  Departamento: BOGOTA |  Ciudad: BOGOTA |  Dirección: CL 77 SUR 53 - 51 |  Teléfono: 3021717 |  E-mail: N/A |  Número de Folios : 1 |  Tipología: Cargue de Aportes Entidades Publicas Y Privadas y/o Modificacion de Aportes o Disponible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Radicado de Correspondencia Recibida: 02-2303-202203250421057 | </t>
  </si>
  <si>
    <t xml:space="preserve">Radicado: 28-2303-202203300020833 |  Número de Identificación: 8605168065 |  Nombre o Razón Social: PERMODA  LTDA |  País: COLOMBIA |  Departamento: BOGOTA |  Ciudad: BOGOTA |  Dirección: CL 17A #68 D 88 |  Teléfono: 2948999 |  Número de Folios : 0 |  Tipología: Novedades Aportes de Cesantias |  Radicado de Correspondencia Recibida: 02-2303-202203300448253 | </t>
  </si>
  <si>
    <t xml:space="preserve">Radicado: 28-2303-202203250019962 |  Número de Identificación: 1013591511 |  Nombre o Razón Social: ORTIZ CASTRO AIDA |  País: COLOMBIA |  Departamento: BOGOTA |  Ciudad: BOGOTA |  Dirección: CL 33 SUR # 50 - 59 |  Teléfono: 3132961 |  E-mail: N/A |  Número de Folios : 0 |  Tipología: Novedades Aportes de Cesantias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Radicado de Correspondencia Recibida: 02-2303-202203250418126 | </t>
  </si>
  <si>
    <t xml:space="preserve">Radicado: 28-2303-202203280020244 |  Número de Identificación: 1144029620 |  Nombre o Razón Social: CARLOS ANDRES GALLON |  País: COLOMBIA |  Departamento: VALLE DEL CAUCA |  Ciudad: CALI |  Dirección: CR 94 A # 48 - 65 TR 1 APTO 401 |  Teléfono: 3002706749 |  E-mail: CARLOSGALLON1989@HOTMAIL.COM |  Número de Folios : 0 |  Tipología: Novedades Aportes de Cesantias |  Requiere Modificación: No |  Tipo de Modificación: No Aplica |  Tipo de Empresa: Privada |  Tipo de Novedad: No Monetaria |  Estado del Proceso 1: Dev. Devuelto |  Causal de Devolución PNC de Cara al Cliente: Documentación Incompleta o Inconsistente |  Usuario Responsable: Breidy Julieth Quiroga Noguera |  Respuesta procesamiento Cobis: Correo Electronico |  Radicado de Correspondencia Recibida: 02-2303-202203280429892 | </t>
  </si>
  <si>
    <t xml:space="preserve">Radicado: 28-4601-202203290020449 |  Número de Identificación: 52239587 |  Nombre o Razón Social: VELA APARICIO ANNDREA  DEL PILAR |  País: COLOMBIA |  Departamento: BOGOTA |  Ciudad: BOGOTA |  Dirección: CLL 7 # 94-78 CS 122 |  Teléfono: 3228482189 |  E-mail: MAFLANDREA@HOTMAIL.COM |  Número de Folios : 2 |  Tipología: Novedades Aportes de Cesantias |  Radicado de Correspondencia Recibida: 02-4601-202203290435374 | </t>
  </si>
  <si>
    <t xml:space="preserve">Radicado: 28-4601-202203290020451 |  Número de Identificación: 1024582925 |  Nombre o Razón Social: GRACIA RAMIREZ WENDY ALEJANDRA |  País: COLOMBIA |  Departamento: BOGOTA |  Ciudad: BOGOTA |  Dirección: CLL 34 SUR # 13-28 |  Teléfono: 3043680937 |  E-mail: ALEJANDRAMIREZ44@GMAIL.COM |  Número de Folios : 2 |  Tipología: Novedades Aportes de Cesantias |  Radicado de Correspondencia Recibida: 02-4601-202203290435392 | </t>
  </si>
  <si>
    <t xml:space="preserve">Radicado: 28-2303-202203280020335 |  Número de Identificación: 1001132887 |  Nombre o Razón Social: DAZA MUÑOZ CRISTIAN ALEJANDRO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02-2303-202203280432469 | </t>
  </si>
  <si>
    <t xml:space="preserve">Radicado: 28-2303-202203280020272 |  Número de Identificación: 4950688 |  Nombre o Razón Social: QUESADA PARRA GUILLERMO |  País: COLOMBIA |  Departamento: BOGOTA |  Ciudad: BOGOTA |  Dirección: CR 6 ESTE  85 A 34 SUR |  Teléfono: 7159100 |  E-mail: n/a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02-2303-202203280430517 | </t>
  </si>
  <si>
    <t xml:space="preserve">Radicado: 28-4703-202203220019255 |  Número de Identificación: 91073380 |  Nombre o Razón Social: PENA TINOCO LUIS ALFONSO |  País: COLOMBIA |  Departamento: CALDAS |  Ciudad: MANIZALES |  Dirección: CALLE 51A 6E 14 |  Teléfono: 3124177416 |  E-mail: L.TINOCO@HOTMAIL.COM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02-4703-202203220394766 | </t>
  </si>
  <si>
    <t xml:space="preserve">Radicado: 28-2303-202203250019947 |  Número de Identificación: 18004072 |  Nombre o Razón Social: TORRES CARRILLO GARY LENIN |  País: COLOMBIA |  Departamento: ISLAS |  Ciudad: SAN ANDRES |  Dirección: AV 20 JULIO SC LAS GAVIOTAS |  Teléfono: 3219519313 |  E-mail: GARYLENIN@HOTMAIL.COM |  Número de Folios : 0 |  Tipología: Novedades Aportes de Cesantias |  Requiere Modificación: No |  Tipo de Modificación: No Aplica |  Tipo de Empresa: Publica |  Tipo de Novedad: Correccion de Nombre sin Formato |  Estado del Proceso 1: Ok. Aprobado |  Usuario Responsable: Oscar  Ramiro Reyes Prada |  Estado del Proceso 3: Ok. Aprobado |  Respuesta procesamiento Cobis: Correo Electronico |  Radicado de Correspondencia Recibida: 02-2303-202203250417907 | </t>
  </si>
  <si>
    <t xml:space="preserve">Radicado: 28-2303-202203230019580 |  Número de Identificación: 1193086811 |  Nombre o Razón Social: PEREA CABRERA LEIDY MARCELA |  País: COLOMBIA |  Departamento: ANTIOQUIA |  Ciudad: MEDELLIN |  Dirección: CL 70 # 45 - 38 APTO 201 |  Teléfono: 3022187319 |  E-mail: LADYCA1997@GMAIL.COM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02-2303-202203230406068 | </t>
  </si>
  <si>
    <t xml:space="preserve">Radicado: 28-4601-202203290020535 |  Número de Identificación: 91480105 |  Nombre o Razón Social: DIEGO EFRAINRICAR LEON ARIZA |  País: COLOMBIA |  Departamento: BOGOTA |  Ciudad: BOGOTA |  Dirección: CRR 62 # 165A-69 T3 APTO 1414 |  Teléfono: 3123055484 |  E-mail: DERLA75@HOTMAIL.COM |  Número de Folios : 2 |  Tipología: Novedades Aportes de Cesantias |  Radicado de Correspondencia Recibida: 02-4601-202203290438962 | </t>
  </si>
  <si>
    <t xml:space="preserve">Radicado: 28-4603-202203250019936 |  Número de Identificación: 1022332771 |  Nombre o Razón Social: PINILLA  JOHAN |  País: COLOMBIA |  Departamento: BOGOTA |  Ciudad: BOGOTA |  Dirección: CL 42SUR # 81-13 |  Teléfono: 3223006043 |  E-mail: JOHANPINILLA2829@GMAIL.COM |  Número de Folios : 2 |  Tipología: Novedades Aportes de Cesantias |  Requiere Modificación: No |  Tipo de Modificación: No Aplica |  Tipo de Empresa: Privada |  Tipo de Novedad: No Monetaria |  Estado del Proceso 1: Ok. Aprobado |  Usuario Responsable: Ledher Julian Martin Sierra Cristancho |  Estado del Proceso 3: Ok. Aprobado |  Respuesta procesamiento Cobis: Correo Electronico |  Radicado de Correspondencia Recibida: 02-4603-202203250416667 | </t>
  </si>
  <si>
    <t xml:space="preserve">Radicado: 28-2303-202203180018800 |  Número de Identificación: 41491483 |  Nombre o Razón Social: GOMEZ DE SARMIENTO PATRICIA |  País: COLOMBIA |  Departamento: BOGOTA |  Ciudad: BOGOTA |  Dirección: CR 13A 102-56 |  Teléfono: 2144877 |  E-mail: N/A |  Número de Folios : 1 |  Tipología: Planilla Manual |  Requiere Modificación: No |  Tipo de Modificación: No Aplica |  Tipo de Empresa: Privada |  Tipo de Novedad: Monetaria |  Estado del Proceso 1: Ok. Aprobado |  Usuario Responsable: Breidy Julieth Quiroga Noguera |  Estado del Proceso 3: Ok. Aprobado |  Respuesta procesamiento Cobis: Correo Electronico |  Requiere respuesta: No |  Radicado de Correspondencia Recibida: 02-2303-202203180380792 | </t>
  </si>
  <si>
    <t xml:space="preserve">Radicado: 28-2303-202203110017085 |  Número de Identificación: 9005052579 |  Nombre o Razón Social: AXIOMA ARQUITECTURA SAS |  País: COLOMBIA |  Departamento: BOGOTA |  Ciudad: BOGOTA |  Dirección: CR 28 #68 -13 |  Teléfono: 2256961 |  E-mail: CONTACTO@AXIOMARQUITECTURA.COM.CO |  Número de Folios : 3 |  Tipología: Planilla Manual |  Requiere Modificación: No |  Tipo de Modificación: No Aplica |  Tipo de Empresa: Privada |  Tipo de Novedad: Monetaria |  Estado del Proceso 1: Dev. Devuelto |  Causal de Devolución PNC de Cara al Cliente: Documentación Incompleta o Inconsistente |  Usuario Responsable: Oscar  Ramiro Reyes Prada |  Resultado captura: Otras Solicitudes |  Respuesta procesamiento Cobis: Correo Electronico |  Estado del Proceso 5: Ok. Aprobado |  Causal de Devolución PNC: Correcto |  Requiere respuesta: Si |  Radicado de Correspondencia Recibida: 02-2303-202203110338566 | </t>
  </si>
  <si>
    <t xml:space="preserve">Radicado: 28-4601-202203160018293 |  Número de Identificación: 9012856571 |  Nombre o Razón Social: MEGACARPINTERIA JYE SAS |  País: COLOMBIA |  Departamento: BOGOTA |  Ciudad: BOGOTA |  Dirección: CALLE 74 85 61 |  Teléfono: 0 |  E-mail: g-jeanneth68@hotmail.com |  Número de Folios : 3 |  Tipología: Planilla Manual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Requiere respuesta: No |  Radicado de Correspondencia Recibida: 02-4601-202203160367821 | </t>
  </si>
  <si>
    <t xml:space="preserve">Radicado: 28-2303-202203280020350 |  Número de Identificación: 8060084391 |  Nombre o Razón Social: CLINICA CARTAGENA DEL MAR SAS |  País: COLOMBIA |  Departamento: BOLIVAR |  Ciudad: CARTAGENA |  Dirección: CL 30 #20 71 PIC DE POPA |  Teléfono: 6583893 |  E-mail: NOTIENE@HOTMAIL.COM |  Número de Folios : 1 |  Tipología: Planilla Manual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Requiere respuesta: No |  Radicado de Correspondencia Recibida: 02-2303-202203280432565 | </t>
  </si>
  <si>
    <t xml:space="preserve">Radicado: 28-4804-202203290020450 |  Número de Identificación: 66740514 |  Nombre o Razón Social: GLORIA MARIA ANGULO QUINONEZ |  País: COLOMBIA |  Departamento: VALLE DEL CAUCA |  Ciudad: CALI |  Dirección: CR 61 #15-45 CL 15 |  Teléfono: 3166174635 |  E-mail: yamoan31@hotmail.com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02-4804-202203290435389 | </t>
  </si>
  <si>
    <t xml:space="preserve">Radicado: 28-2303-202203240019873 |  Número de Identificación: 382003271 |  Nombre o Razón Social: GUTIERREZ DE DURAN GILMA ROSA |  País: COLOMBIA |  Departamento: TOLIMA |  Ciudad: PLANADAS |  Dirección: CLL PRINCIPALGAITANA |  Teléfono: 3138546992 |  E-mail: EMMV69@YAHOO.COM |  Número de Folios : 2 |  Tipología: Planilla Manual |  Estado del Proceso 1: Aprobado Planilla Manual |  Usuario Responsable: Caren Milena Prieto Espinosa |  Requiere respuesta: Si |  Radicado de Correspondencia Recibida: 02-2303-202203240412722 | </t>
  </si>
  <si>
    <t xml:space="preserve">Radicado: 28-4902-202203250020019 |  Número de Identificación: 1115793849 |  Nombre o Razón Social: CUBILLOS CUBILLOS TIVISAY |  País: COLOMBIA |  Departamento: CAQUETA |  Ciudad: FLORENCIA |  Dirección: CARRERA 12 ESTE # 12C-05 |  Teléfono: 3214811236 |  E-mail: TIVISAY.CUBILLOS@ASMETSALUD.COM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02-4902-202203250419841 | </t>
  </si>
  <si>
    <t xml:space="preserve">Radicado: 28-2303-202203180019065 |  Número de Identificación: 9009752037 |  Nombre o Razón Social: GONTEX SAS |  País: COLOMBIA |  Departamento: BOGOTA |  Ciudad: BOGOTA |  Dirección: CL 56 SUR # 88 C- 15 P 2 |  Teléfono: 7844849 |  E-mail: gontex.des@gmail.com |  Número de Folios : 0 |  Tipología: Apoyo Empresas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Resultado captura: Otras Solicitudes |  Respuesta procesamiento Cobis: Correo Electronico |  Requiere respuesta: No |  Radicado de Correspondencia Recibida: 02-2303-202203180386153 | </t>
  </si>
  <si>
    <t xml:space="preserve">Radicado: 28-2303-202203280020248 |  Número de Identificación: 8000640078 |  Nombre o Razón Social: ASOCIACION DE HOGARES DE PADRES DE BIENESTAR EL CASTILLO |  País: COLOMBIA |  Departamento: BOGOTA |  Ciudad: BOGOTA |  Dirección: CL 8 # 3 - 61 |  Teléfono: 0 |  E-mail: asoccastillo@hotmail.com |  Número de Folios : 0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Respuesta procesamiento Cobis: Correo Electronico |  Radicado de Correspondencia Recibida: 02-2303-202203280429946 | </t>
  </si>
  <si>
    <t xml:space="preserve">Radicado: 28-2303-202203090016200 |  Número de Identificación: 9010303271 |  Nombre o Razón Social: QUINVAL SAS |  País: COLOMBIA |  Departamento: BOGOTA |  Ciudad: BOGOTA |  Dirección: CRA 6 115 65 |  Teléfono: 6200605 |  E-mail: roquinval57@yahoo.com |  Número de Folios : 0 |  Tipología: Apoyo Empresas |  Tipo de solicitud: Validacion de reporte |  Motivo: CORRECCION REPORTES AÑOS 2019 Y 2020 CESANTIAS |  Medio de recepción: Buzón Apoyo Empresas |  Requiere Modificación: No |  Tipo de Modificación: No Aplica |  Tipo de Empresa: Privada |  Tipo de Novedad: Monetaria |  Estado del Proceso 1: Ok. Aprobado |  Usuario Responsable: Ledher Julian Martin Sierra Cristancho |  Estado del Proceso 2: Ok. Aprobado |  Estado del Proceso 3: Dev. Devuelto |  Causal de Devolución PNC de Cara al Tercero 2: Inconsistencias en el Formato |  Resultado captura: Otras Solicitudes |  Respuesta procesamiento Cobis: Correo Electronico |  Requiere respuesta: No |  Radicado de Correspondencia Recibida: 02-2303-202203090323866 | </t>
  </si>
  <si>
    <t xml:space="preserve">Radicado: 28-2303-202203240019581 |  Número de Identificación: 9011907508 |  Nombre o Razón Social: MAQUINAS DISPENSADORAS ECOVENDING SAS |  País: COLOMBIA |  Departamento: BOGOTA |  Ciudad: BOGOTA |  Dirección: CRA 119B 63J 09 |  Teléfono: 3024491961 |  E-mail: ingragua28@hotmail.com |  Número de Folios : 0 |  Tipología: Apoyo Empresas |  Tipo de solicitud: Validacion de reporte |  Motivo: SOLICITUD |  Medio de recepción: Buzón Apoyo Empresas |  Requiere Modificación: No |  Tipo de Modificación: No Aplica |  Tipo de Empresa: Privada |  Tipo de Novedad: Monetaria |  Estado del Proceso 1: Tramitado con Anterioridad |  Usuario Responsable: Ledher Julian Martin Sierra Cristancho |  Estado del Proceso 3: Dev. Devuelto |  Causal de Devolución PNC de Cara al Tercero 2: Inconsistencias en el Formato |  Resultado captura: Otras Solicitudes |  Respuesta procesamiento Cobis: Correo Electronico |  Requiere respuesta: Si |  Radicado de Correspondencia Recibida: 02-2303-202203240406270 | </t>
  </si>
  <si>
    <t xml:space="preserve">Radicado: 28-4603-202203300020676 |  Número de Identificación: 26491452 |  Nombre o Razón Social: BERMEO DE TELLEZ EVIDIA |  País: COLOMBIA |  Departamento: BOGOTA |  Ciudad: BOGOTA |  Dirección: CL 55  # 77 B-24 ANILLO 12 AP 405 URB SANTA LIBRADA |  Teléfono: 3144309970 |  E-mail: EVI.DIA2611@GMAIL.COM |  Número de Folios : 3 |  Tipología: Novedades Aportes de Cesantias |  Radicado de Correspondencia Recibida: 02-4603-202203300442635 | </t>
  </si>
  <si>
    <t xml:space="preserve">Radicado: 28-4605-202203300020640 |  Número de Identificación: 80251231 |  Nombre o Razón Social: ROBAYO CASTELLANOS FREDY ALEJANDRI |  País: COLOMBIA |  Departamento: BOGOTA |  Ciudad: BOGOTA |  Dirección: KR 46 A 76 41 SUR JERUSALEN |  Teléfono: 7310902 |  E-mail: FREDYROBAYO7@GMAIL.COM |  Número de Folios : 3 |  Tipología: Novedades Aportes de Cesantias |  Radicado de Correspondencia Recibida: 02-4605-202203300441238 | </t>
  </si>
  <si>
    <t xml:space="preserve">Radicado: 28-4803-202203300020776 |  Número de Identificación: 1007164313 |  Nombre o Razón Social: ESPANA ERASO DIEGO ANDRES |  País: COLOMBIA |  Departamento: NARIÑO |  Ciudad: LA UNION |  Dirección: B/ CARLOS LLERAS |  Teléfono: 3235174750 |  E-mail: 1089DIEGO@GMAIL.COM |  Número de Folios : 3 |  Tipología: Novedades Aportes de Cesantias |  Radicado de Correspondencia Recibida: 02-4803-202203300445920 | </t>
  </si>
  <si>
    <t xml:space="preserve">Radicado: 28-4803-202203300020787 |  Número de Identificación: 36757419 |  Nombre o Razón Social: HERRERA ASCUNTAS AMANDA LILIANA |  País: COLOMBIA |  Departamento: NARIÑO |  Ciudad: PASTO |  Dirección: CRA10 #18A-60 |  Teléfono: 3104233124 |  E-mail: LILIDI@HOTMAIL.ES |  Número de Folios : 2 |  Tipología: Novedades Aportes de Cesantias |  Radicado de Correspondencia Recibida: 02-4803-202203300446372 | </t>
  </si>
  <si>
    <t xml:space="preserve">Radicado: 28-2303-202203300020867 |  Número de Identificación: 1075278636 |  Nombre o Razón Social: HOYOS RUBIANO ANNY JULIETH |  País: COLOMBIA |  Departamento: BOGOTA |  Ciudad: BOGOTA |  Dirección: CL 14 SUR # 23A-29 |  Teléfono: 1 |  E-mail: solanny1820@hotmail.com |  Número de Folios : 1 |  Tipología: Novedades Aportes de Cesantias |  Radicado de Correspondencia Recibida: 02-2303-202203300449202 | </t>
  </si>
  <si>
    <t xml:space="preserve">Radicado: 28-2303-202203310020869 |  Número de Identificación: 1085278752 |  Nombre o Razón Social: MELO LOPEZ CRISTHIAN CAMILO |  País: COLOMBIA |  Departamento: BOGOTA |  Ciudad: BOGOTA |  Dirección: DG 15 # 11 E - 14 EL ROSARIO |  Teléfono: 0 |  E-mail: camilomelo911@gmail.com |  Número de Folios : 0 |  Tipología: Novedades Aportes de Cesantias |  Radicado de Correspondencia Recibida: 02-2303-202203310449247 | </t>
  </si>
  <si>
    <t xml:space="preserve">Radicado: 04-2303-202203300016713 |  ¿Requiere que la petición sea anónima?: NO |  Justifique la razón por la cual debe ser anónima:  |  Tipo de documento: CEDULA DE CIUDADANIA |  Número de documento: 53037198 |  Apellidos y Nombres: TRIANA BARRAGAN SONIA LILIANA |  Género: Femenino |  Pais de residencia: COLOMBIA |  Departamento de residencia: BOGOTA |  Ciudad de residencia: BOGOTA |  Dirección: CL 1 # 0  0 |  Teléfono casa / oficina: 0 |  Teléfono Móvil: 3102159028 |  Autoriza el envío de la respuesta a su correo electrónico: SI |  Correo Electrónico: lililocha.tb68@hotmail.com |  Tipo de población: Cliente |  Tipo de petición: TRAMITES O SERVICIOS |  Tipologia: Solicitud acerca de Cuentas |  Descripción de la petición: INQUIETUD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02-2303-202203300446607 |  Radicado respuesta:  |  Radicado respuesta Parcial:  |  Tipología (Homologada): Solicitud acerca de Cuentas |  Tipo Petición (Homologada): TRAMITES O SERVICIOS | </t>
  </si>
  <si>
    <t>28-2303-202203300020684</t>
  </si>
  <si>
    <t>28-2303-202203300020687</t>
  </si>
  <si>
    <t>28-2303-202203300020691</t>
  </si>
  <si>
    <t>28-2303-202203300020704</t>
  </si>
  <si>
    <t>28-2303-202203300020750</t>
  </si>
  <si>
    <t>28-2303-202203300020800</t>
  </si>
  <si>
    <t>28-2303-202203020014695</t>
  </si>
  <si>
    <t>28-2303-202203300020819</t>
  </si>
  <si>
    <t>28-2303-202203300020842</t>
  </si>
  <si>
    <t>28-4601-202203290020446</t>
  </si>
  <si>
    <t>28-2303-202203300020837</t>
  </si>
  <si>
    <t>28-4702-202203300020766</t>
  </si>
  <si>
    <t>28-2303-202203250020026</t>
  </si>
  <si>
    <t>28-2303-202203300020665</t>
  </si>
  <si>
    <t>28-2303-202203300020694</t>
  </si>
  <si>
    <t>28-2303-202203300020721</t>
  </si>
  <si>
    <t>28-2303-202203300020751</t>
  </si>
  <si>
    <t>28-2303-202203300020754</t>
  </si>
  <si>
    <t>28-2303-202203300020777</t>
  </si>
  <si>
    <t>28-2303-202203300020765</t>
  </si>
  <si>
    <t>28-2303-202203280020263</t>
  </si>
  <si>
    <t>28-2303-202203300020801</t>
  </si>
  <si>
    <t>28-2303-202203300020669</t>
  </si>
  <si>
    <t>28-4301-202203300020708</t>
  </si>
  <si>
    <t>28-4301-202203300020714</t>
  </si>
  <si>
    <t>28-4301-202203300020716</t>
  </si>
  <si>
    <t>28-4303-202203300020729</t>
  </si>
  <si>
    <t>28-2303-202203300020823</t>
  </si>
  <si>
    <t>28-2303-202203300020743</t>
  </si>
  <si>
    <t>28-2303-202203300020833</t>
  </si>
  <si>
    <t>28-4601-202203290020449</t>
  </si>
  <si>
    <t>28-4601-202203290020451</t>
  </si>
  <si>
    <t>28-2303-202203300020838</t>
  </si>
  <si>
    <t>28-4601-202203290020535</t>
  </si>
  <si>
    <t>28-2303-202203300020782</t>
  </si>
  <si>
    <t>28-2303-202203300020812</t>
  </si>
  <si>
    <t>28-4303-202203300020635</t>
  </si>
  <si>
    <t>28-2303-202203240019873</t>
  </si>
  <si>
    <t>28-4603-202203300020676</t>
  </si>
  <si>
    <t>28-4605-202203300020640</t>
  </si>
  <si>
    <t>28-4803-202203300020776</t>
  </si>
  <si>
    <t>28-4803-202203300020787</t>
  </si>
  <si>
    <t>28-2303-202203300020867</t>
  </si>
  <si>
    <t>28-2303-202203310020869</t>
  </si>
  <si>
    <t>04-2303-202203300016713</t>
  </si>
  <si>
    <t>30-mar</t>
  </si>
  <si>
    <t xml:space="preserve">Radicado: 28-2303-202203310020907 |  Número de Identificación: 8000394390 |  Nombre o Razón Social: DEMCAUTOS S A |  País: COLOMBIA |  Departamento: BOGOTA |  Ciudad: BOGOTA |  Dirección: AV 116 # 55 C - 07 |  Teléfono: 5931600 |  E-mail: jeisongoyeneche@demcautos.com.co |  Número de Folios : 0 |  Tipología: Devolucion de Aportes |  Radicado de Correspondencia Recibida: 02-2303-202203310450334 | </t>
  </si>
  <si>
    <t xml:space="preserve">Radicado: 28-2303-202203180018632 |  Número de Identificación: 900582723 |  Nombre o Razón Social: BOLSAS Y BOLSOS ECOLOGICOS BOLSECOL SAS |  País: COLOMBIA |  Departamento: BOGOTA |  Ciudad: BOGOTA |  Dirección: CL 73 A 68G 15 |  Teléfono: 3115157691 |  E-mail: talentohumano@bolsecol.com |  Número de Folios : 0 |  Tipología: Devolucion de Aportes |  Requiere Modificación: No |  Tipo de Modificación: No Aplica |  Tipo de Empresa: Privada |  Tipo de Novedad: Monetaria |  Estado del Proceso 1: Ok. Aprobado |  Requiere Cargue/Novedad: Si |  Estado del Proceso 4: Ok. Aprobado |  Respuesta procesamiento Cobis: Correo Electronico |  Radicado de Correspondencia Recibida: 02-2303-202203180378672 | </t>
  </si>
  <si>
    <t xml:space="preserve">Radicado: 28-4705-202203160018285 |  Número de Identificación: 8160020207 |  Nombre o Razón Social: EMPRESA DE ACUEDUCTO Y ALCANTARILLADO DE PEREIRA SA ESP |  País: COLOMBIA |  Departamento: RISARALDA |  Ciudad: PEREIRA |  Dirección: CL 19 9-50 COMPLEJO URBANO DIARIO DEL OTUN LOCAL 42 |  Teléfono: 63353537 |  E-mail: @ |  Número de Folios : 8 |  Tipología: Devolucion de Aportes |  Requiere Modificación: No |  Tipo de Modificación: No Aplica |  Tipo de Empresa: Privada |  Tipo de Novedad: Monetaria |  Estado del Proceso 1: Ok. Aprobado |  Requiere Cargue/Novedad: Si |  Estado del Proceso 4: Ok. Aprobado |  Respuesta procesamiento Cobis: Correo Electronico |  Radicado de Correspondencia Recibida: 02-4705-202203160367475 | </t>
  </si>
  <si>
    <t xml:space="preserve">Radicado: 28-2303-202203240019601 |  Número de Identificación: 9005875044 |  Nombre o Razón Social: PRODUCOM SAS |  País: COLOMBIA |  Departamento: BOGOTA |  Ciudad: BOGOTA |  Dirección: CR 53 #14-67 |  Teléfono: 2604953 |  E-mail: alara@producomcolombia.com |  Número de Folios : 0 |  Tipología: Devolucion de Aportes |  Requiere Modificación: No |  Tipo de Modificación: No Aplica |  Tipo de Empresa: Privada |  Tipo de Novedad: Monetaria |  Estado del Proceso 1: Ok. Aprobado |  Requiere Cargue/Novedad: Si |  Estado del Proceso 4: Ok. Aprobado |  Respuesta procesamiento Cobis: Correo Electronico |  Radicado de Correspondencia Recibida: 02-2303-202203240406324 | </t>
  </si>
  <si>
    <t xml:space="preserve">Radicado: 28-2303-202203220019320 |  Número de Identificación: 1016038594  |  Nombre o Razón Social: LUCUMI AMBUILA ANDERSON |  País: COLOMBIA |  Departamento: BOGOTA |  Ciudad: BOGOTA |  Dirección: CR 34 ESTE  # 6 M 8 |  Teléfono: 0 |  E-mail: ANDERSONLUCUMI54@GMAIL.COM |  Número de Folios : 0 |  Tipología: Devolucion de Aportes |  Radicado de Correspondencia Recibida: 02-2303-202203220396764 | </t>
  </si>
  <si>
    <t xml:space="preserve">Radicado: 28-2303-202203280020156 |  Número de Identificación: 9007272629 |  Nombre o Razón Social: ASOCIADOS ZR SAS |  País: COLOMBIA |  Departamento: CUNDINAMARCA |  Ciudad: FACATATIVA |  Dirección: CR 6 # 2 - 66 - 74 BRR CHAPINERO |  Teléfono: 4201749 |  E-mail: rrhhesfera@hotmail.com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02-2303-202203280426592 | </t>
  </si>
  <si>
    <t xml:space="preserve">Radicado: 28-4804-202203310020929 |  Número de Identificación: 8305123200 |  Nombre o Razón Social: AMMA EU Y CIA S C A |  País: COLOMBIA |  Departamento: VALLE DEL CAUCA |  Ciudad: CALI |  Dirección: CR 15 #95-51 OF 202 |  Teléfono: 6913813 |  E-mail: SINTES-SAS@HOTMAIL.COM |  Número de Folios : 3 |  Tipología: Devolucion de Aportes |  Radicado de Correspondencia Recibida: 02-4804-202203310450975 | </t>
  </si>
  <si>
    <t xml:space="preserve">Radicado: 28-2303-202203310020924 |  Número de Identificación: 9001961701 |  Nombre o Razón Social: ARTISANO LTDA |  País: COLOMBIA |  Departamento: BOGOTA |  Ciudad: BOGOTA |  Dirección: CL 71 # 19 - 43 |  Teléfono: 6067410 |  E-mail: recursoshumanosartisano@gmail.com |  Número de Folios : 0 |  Tipología: Devolucion de Aportes |  Radicado de Correspondencia Recibida: 02-2303-202203310450873 | </t>
  </si>
  <si>
    <t xml:space="preserve">Radicado: 28-2303-202203300020691 |  Número de Identificación: 9003126597  |  Nombre o Razón Social: TESEO COLOMBIA SAS |  País: COLOMBIA |  Departamento: BOGOTA |  Ciudad: BOGOTA |  Dirección: CL 19A #69B-18 |  Teléfono: 4247799 |  E-mail: jorcantillolaw@hotmail.com |  Número de Folios : 1 |  Tipología: Cargue de Aportes Entidades Publicas Y Privadas y/o Modificacion de Aportes o Disponible |  Requiere Modificación: No |  Tipo de Modificación: No Aplica |  Tipo de Empresa: Privada |  Tipo de Novedad: Monetaria |  Estado del Proceso 1: Ok. Aprobado |  Requiere Cargue/Novedad: No |  Estado del Proceso 4: Ok. Aprobado |  Respuesta procesamiento Cobis: Correo Electronico |  Radicado de Correspondencia Recibida: 02-2303-202203300443058 | </t>
  </si>
  <si>
    <t xml:space="preserve">Radicado: 28-2303-202203250020058 |  Número de Identificación: 9004972455 |  Nombre o Razón Social: INGELSUR DE COLOMBIA SAS |  País: COLOMBIA |  Departamento: HUILA |  Ciudad: NEIVA |  Dirección: CL 26 SUR #24-21 |  Teléfono: 8733784 |  E-mail: GERENCIA@INGELSUR.COM |  Número de Folios : 0 |  Tipología: Devolucion de Aportes |  Requiere Modificación: No |  Tipo de Modificación: No Aplica |  Tipo de Empresa: Privada |  Tipo de Novedad: Monetaria |  Estado del Proceso 1: Ok. Aprobado |  Requiere Cargue/Novedad: Si |  Estado del Proceso 4: Ok. Aprobado |  Respuesta procesamiento Cobis: Correo Electronico |  Radicado de Correspondencia Recibida: 02-2303-202203250421670 | </t>
  </si>
  <si>
    <t xml:space="preserve">Radicado: 28-2303-202203300020765 |  Número de Identificación: 9014285008 |  Nombre o Razón Social: CENTRO DE TERAPIAS ALTERNATIVAS JOSE CELESTINO MUTIS SAS |  País: COLOMBIA |  Departamento: ANTIOQUIA |  Ciudad: MEDELLIN |  Dirección: CL 44 # 77 - 61 OF 301 |  Teléfono: 3005728513 |  E-mail: gerenciajcmsas@gmail.com |  Número de Folios : 0 |  Tipología: Apoyo Empresas |  Tipo de solicitud: Validacion de reporte |  Motivo: SOLICITUD |  Medio de recepción: Buzón Apoyo Empresas |  Estado del Proceso 1: Ok. Aprobado |  Resultado captura: Otras Solicitudes |  Requiere respuesta: No |  Radicado de Correspondencia Recibida: 02-2303-202203300445650 | </t>
  </si>
  <si>
    <t xml:space="preserve">Radicado: 28-4604-202203260020113 |  Número de Identificación: 41454992 |  Nombre o Razón Social: PERICO DE ALVAREZ MYRIAM |  País: COLOMBIA |  Departamento: BOGOTA |  Ciudad: BOGOTA |  Dirección: CONJ CALLE 114  NO. 0-45 AP 602 T. 2 |  Teléfono: 6290463 |  Número de Folios : 6 |  Tipología: Novedades Aportes de Cesantias |  Radicado de Correspondencia Recibida: 02-4604-202203260422635 | </t>
  </si>
  <si>
    <t xml:space="preserve">Radicado: 28-2303-202203310020910 |  Número de Identificación: 1070989594 |  Nombre o Razón Social: RONDON AGUDELO DANIEL ALEJANDR |  País: COLOMBIA |  Departamento: BOGOTA |  Ciudad: BOGOTA |  Dirección: CR 5 # 2-213 |  Teléfono: 1 |  E-mail: danielrondon1103@gmail.com |  Número de Folios : 1 |  Tipología: Novedades Aportes de Cesantias |  Radicado de Correspondencia Recibida: 02-2303-202203310450366 | </t>
  </si>
  <si>
    <t xml:space="preserve">Radicado: 28-2303-202203310020919 |  Número de Identificación: 52070512 |  Nombre o Razón Social: BERNAL CAMARGO DELIA DEL |  País: COLOMBIA |  Departamento: BOGOTA |  Ciudad: BOGOTA |  Dirección: CR 76 B # 90 A - 36 BARRIO LA SERENA |  Teléfono: 3102746663 |  E-mail: DELIA.BERNAL@COMPUDIEZ.COM |  Número de Folios : 0 |  Tipología: Novedades Aportes de Cesantias |  Radicado de Correspondencia Recibida: 02-2303-202203310450725 | </t>
  </si>
  <si>
    <t xml:space="preserve">Radicado: 28-2303-202203310020940 |  Número de Identificación: 147354022 |  Nombre o Razón Social: VIVAS BARRETO MARCO ANTONIO |  País: COLOMBIA |  Departamento: BOGOTA |  Ciudad: BOGOTA |  Dirección: CARRERA 81 F # 19 18 |  Teléfono: 3219924253 |  E-mail: VIVASMARCO11@GMAIL.COM |  Número de Folios : 0 |  Tipología: Novedades Aportes de Cesantias |  Radicado de Correspondencia Recibida: 02-2303-202203310451879 | </t>
  </si>
  <si>
    <t xml:space="preserve">Radicado: 28-2303-202203300020681 |  Número de Identificación: 8920992166 |  Nombre o Razón Social: GOBERNACION DEL CASANARE |  País: COLOMBIA |  Departamento: CASANARE |  Ciudad: YOPAL |  Dirección: CR 19 # 6 100 |  Teléfono: 6357761 |  Número de Folios : 1 |  Tipología: Novedades Aportes de Cesantias |  Radicado de Correspondencia Recibida: 02-2303-202203300442759 | </t>
  </si>
  <si>
    <t xml:space="preserve">Radicado: 28-2303-202203310020943 |  Número de Identificación: 41666706 |  Nombre o Razón Social: GARZON DE HERRERA  MARIA |  País: COLOMBIA |  Departamento: BOGOTA |  Ciudad: BOGOTA |  Dirección: AV CL 100 #64-51 AP 1304 TORRE1 |  Teléfono: 7518524 |  E-mail: dominio@dominio.com |  Número de Folios : 1 |  Tipología: Novedades Aportes de Cesantias |  Radicado de Correspondencia Recibida: 02-2303-202203310452276 | </t>
  </si>
  <si>
    <t xml:space="preserve">Radicado: 28-4601-202203230019501 |  Número de Identificación: 1110470366 |  Nombre o Razón Social: YENIFER ANDREA MALAGON VELASQUEZ |  País: COLOMBIA |  Departamento: BOGOTA |  Ciudad: BOGOTA |  Dirección: TV 97A # 2-70 TRR 11 APTO 308 |  Teléfono: 3144176802 |  E-mail: andremalagonv@gmail.com |  Número de Folios : 3 |  Tipología: Novedades Aportes de Cesantias |  Radicado de Correspondencia Recibida: 02-4601-202203230402575 | </t>
  </si>
  <si>
    <t xml:space="preserve">Radicado: 28-2303-202203310020944 |  Número de Identificación: 9005260859 |  Nombre o Razón Social: EQUIPOS Y SERVICIOS TREX DE COLOMBIA SAS |  País: COLOMBIA |  Departamento: BOGOTA |  Ciudad: BOGOTA |  Dirección: CL 10 #39-06 BOD 4 |  Teléfono: 3827956 |  E-mail: maria.arroyo@equipostrex.com |  Número de Folios : 1 |  Tipología: Cargue de Aportes Entidades Publicas Y Privadas y/o Modificacion de Aportes o Disponible |  Radicado de Correspondencia Recibida: 02-2303-202203310452492 | </t>
  </si>
  <si>
    <t xml:space="preserve">Radicado: 28-2303-202203300020838 |  Número de Identificación: 1037390203 |  Nombre o Razón Social: BUILES MORENO DEISY AIEDE |  País: COLOMBIA |  Departamento: BOGOTA |  Ciudad: BOGOTA |  Dirección: CR 98 # 85 23 |  Teléfono: 2332978 |  E-mail: DEISY.BUILES.M@GMAIL.COM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Respuesta procesamiento Cobis: Correo Electronico |  Radicado de Correspondencia Recibida: 02-2303-202203300448351 | </t>
  </si>
  <si>
    <t xml:space="preserve">Radicado: 28-2303-202203240019906 |  Número de Identificación: 8020042043 |  Nombre o Razón Social: MEDICINA DEPORTIVA Y REHABILITACION LTDA CEMEDER CEMEDER |  País: COLOMBIA |  Departamento: ATLANTICO |  Ciudad: BARRANQUILLA |  Dirección: CR 47 # 81 - 33 |  Teléfono: 3786699 |  E-mail: administracion@cemeder.com |  Número de Folios : 0 |  Tipología: Apoyo Empresas |  Tipo de solicitud: Validacion de reporte |  Motivo: RV: MEDICINA DEPORTIVA Y REHABILITACION LTDA CEMEDER C - 8020042043 - Solicitud de soporte |  Medio de recepción: Buzón Apoyo Empresas |  Requiere Modificación: No |  Tipo de Modificación: No Aplica |  Tipo de Empresa: Privada |  Estado del Proceso 1: Ok. Aprobado |  Usuario Responsable: Andrea Yaneth Godoy Murcia |  Resultado captura: Otras Solicitudes |  Respuesta procesamiento Cobis: Correo Electronico |  Requiere respuesta: Si |  Radicado de Correspondencia Recibida: 02-2303-202203240413758 | </t>
  </si>
  <si>
    <t xml:space="preserve">Radicado: 28-4903-202203300020736 |  Número de Identificación: 8911800091 |  Nombre o Razón Social: ALCALDIA MUNICIPAL DE NEIVA |  País: COLOMBIA |  Departamento: HUILA |  Ciudad: NEIVA |  Dirección: CL 9 - 9 - 74 |  Teléfono: 8711041 |  E-mail: NOTIENE@GMAIL.COM |  Número de Folios : 1 |  Tipología: Planilla Manual |  Radicado de Correspondencia Recibida: 02-4903-202203300444865 | </t>
  </si>
  <si>
    <t xml:space="preserve">Radicado: 28-2303-202203310020977 |  Número de Identificación: 41520696 |  Nombre o Razón Social: DUQUE OCAMPO DILIA |  País: COLOMBIA |  Departamento: RISARALDA |  Ciudad: PEREIRA |  Dirección: CR 6 22-09# |  Teléfono: 3346588 |  E-mail: careliandreina@gmail.com |  Número de Folios : 0 |  Tipología: Novedades Aportes de Cesantias |  Radicado de Correspondencia Recibida: 02-2303-202203310455012 | </t>
  </si>
  <si>
    <t xml:space="preserve">Radicado: 28-2303-202202240012587 |  Número de Identificación: 9008014621 |  Nombre o Razón Social: SERVICIOS DE TELEASISTENCIA COLOMBIA S.A.S |  País: COLOMBIA |  Departamento: ANTIOQUIA |  Ciudad: MEDELLIN |  Dirección: 0 |  Teléfono: 0 |  E-mail: agonzales@atenzia.co |  Número de Folios : 0 |  Tipología: Apoyo Empresas |  Tipo de solicitud: Validacion de reporte |  Motivo: Corrección aportes cesantías  |  Medio de recepción: Buzón Apoyo Empresas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Resultado captura: Otras Solicitudes |  Respuesta procesamiento Cobis: Correo Electronico |  Requiere respuesta: No |  Radicado de Correspondencia Recibida: 02-2303-202202240238449 | </t>
  </si>
  <si>
    <t xml:space="preserve">Radicado: 28-2303-202203100016337 |  Número de Identificación: 9004928150 |  Nombre o Razón Social: UNIDAD MATERNO INFANTIL TALAPUIN S A S UMIT |  País: COLOMBIA |  Departamento: GUAJIRA |  Ciudad: URIBIA |  Dirección: CR 7 G # 10 - 142 |  Teléfono: 7177116 |  E-mail: umituribiarecursoshumanos@hotmail.com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02-2303-202203100328034 | </t>
  </si>
  <si>
    <t xml:space="preserve">Radicado: 28-2303-202203090016171 |  Número de Identificación: 9012468910 |  Nombre o Razón Social: INVERSIONES LA TRONCAL MAICAO SAS |  País: COLOMBIA |  Departamento: GUAJIRA |  Ciudad: MAICAO |  Dirección: CL 16 # 14 - 03 |  Teléfono: 7266218 |  E-mail: inversioneslatroncal@gmail.com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02-2303-202203090323035 | </t>
  </si>
  <si>
    <t xml:space="preserve">Radicado: 28-4701-202203250019949 |  Número de Identificación: 1037390203 |  Nombre o Razón Social: BUILES MORENO DEISY AIEDE |  País: COLOMBIA |  Departamento: ANTIOQUIA |  Ciudad: MEDELLIN |  Dirección: CR 48B # 85-04 INT 301 |  Teléfono: 3216352985 |  E-mail: DEISY.BUILES.M@GMAIL.COM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02-4701-202203250417938 | </t>
  </si>
  <si>
    <t xml:space="preserve">Radicado: 28-2303-202203250020043 |  Número de Identificación: 52057210 |  Nombre o Razón Social: IRMA JANETH MARTINEZ BAUTISTA |  País: COLOMBIA |  Departamento: BOGOTA |  Ciudad: BOGOTA |  Dirección: CR 109 # 77 C - 88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02-2303-202203250421423 | </t>
  </si>
  <si>
    <t xml:space="preserve">Radicado: 28-2303-202203240019625 |  Número de Identificación: 1032462624 |  Nombre o Razón Social: BARONA DIAZ PAOLA DANIELA |  País: COLOMBIA |  Departamento: BOGOTA |  Ciudad: BOGOTA |  Dirección: CL 83A # 116A-85 CA 44 |  Teléfono: 0 |  E-mail: danielabarona28@gmail.com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02-2303-202203240407799 | </t>
  </si>
  <si>
    <t xml:space="preserve">Radicado: 28-2303-202203180018678 |  Número de Identificación: 8911800091 |  Nombre o Razón Social: ALCALDIA MUNICIPAL DE NEIVA |  País: COLOMBIA |  Departamento: HUILA |  Ciudad: NEIVA |  Dirección: CL 9 - 9 - 74 |  Teléfono: 8711041 |  E-mail: willi.agredo@alcaldianeiva.gov.co |  Número de Folios : 0 |  Tipología: Apoyo Empresas |  Tipo de solicitud: Recibo de Consignación |  Motivo: RECIBO DE CONSIGNACION  |  Medio de recepción: Buzón Apoyo Empresas |  Requiere Modificación: No |  Tipo de Modificación: No Aplica |  Tipo de Empresa: Privada |  Tipo de Novedad: Monetaria |  Estado del Proceso 1: Tramitado con Anterioridad |  Usuario Responsable: Jhonier James Leon Guzman |  Resultado captura: Otras Solicitudes |  Respuesta procesamiento Cobis: Correo Electronico |  Requiere respuesta: No |  Radicado de Correspondencia Recibida: 02-2303-202203180379051 | </t>
  </si>
  <si>
    <t xml:space="preserve">Radicado: 28-2303-202203290020526 |  Número de Identificación: 19439984 |  Nombre o Razón Social: MERCADO LIDUENAS ROBINSON |  País: COLOMBIA |  Departamento: BOGOTA |  Ciudad: BOGOTA |  Dirección: TV 85 #54 19 BRR SANTA CECILIA |  Teléfono: 4167735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02-2303-202203290438623 | </t>
  </si>
  <si>
    <t xml:space="preserve">Radicado: 28-4905-202203290020557 |  Número de Identificación: 20619892 |  Nombre o Razón Social: RUIZ TRUJILLO BLANCA RUTH |  País: COLOMBIA |  Departamento: CUNDINAMARCA |  Ciudad: GIRARDOT |  Dirección: MZ 23 CASA 11 |  Teléfono: 3105255712 |  E-mail: ANGIIH09.28@GMAIL.COM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02-4905-202203290440056 | </t>
  </si>
  <si>
    <t xml:space="preserve">Radicado: 28-2303-202203250020065 |  Número de Identificación: 1088277116  |  Nombre o Razón Social: JOHN EDISON LOPERA JIMENEZ |  País: COLOMBIA |  Departamento: RISARALDA |  Ciudad: PEREIRA |  Dirección: CALLE 78 # 34 80 CAMPOALEGRE CUBA |  Teléfono: 3016938963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Fisico |  Radicado de Correspondencia Recibida: 02-2303-202203250421699 | </t>
  </si>
  <si>
    <t xml:space="preserve">Radicado: 28-2303-202203280020150 |  Número de Identificación: 1123620986 |  Nombre o Razón Social: PUSEY JAMES YULIEN VIVIANA |  País: COLOMBIA |  Departamento: ISLAS |  Ciudad: SAN ANDRES |  Dirección: SC SAN LUIS BAY |  Teléfono: 3203080920 |  E-mail: YULIENPUSEY743@GMAIL.COM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02-2303-202203280426464 | </t>
  </si>
  <si>
    <t xml:space="preserve">Radicado: 28-2303-202203280020206 |  Número de Identificación: 1063156641 |  Nombre o Razón Social: OSORIO NUNEZ JUVENAL ANDRES |  País: COLOMBIA |  Departamento: CORDOBA |  Ciudad: MONTERIA |  Dirección: DG 1 A # 12 - 17 |  Teléfono: 3002990229 |  E-mail: JUVENALOSORIO07051991@GMAIL.COM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02-2303-202203280428560 | </t>
  </si>
  <si>
    <t xml:space="preserve">Radicado: 28-2303-202203300020743 |  Número de Identificación: 19448909 |  Nombre o Razón Social: MORENO CORDOBA ROSBY |  País: COLOMBIA |  Departamento: CHOCO |  Ciudad: QUIBDO |  Dirección: CL 30 # 6 - 44 |  Teléfono: 0 |  E-mail: rosmoco@hotmail.com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02-2303-202203300444977 | </t>
  </si>
  <si>
    <t xml:space="preserve">Radicado: 28-2303-202203240019784 |  Número de Identificación: 8000707831 |  Nombre o Razón Social: IMOSER INGENIEROS LIMITADA |  País: COLOMBIA |  Departamento: BOGOTA |  Ciudad: BOGOTA |  Dirección: CL 16 I # 96 H - 28 |  Teléfono: 4186086 |  E-mail: contabilidad@imoser.com |  Número de Folios : 0 |  Tipología: Novedades Aportes de Cesantias |  Requiere Modificación: No |  Tipo de Modificación: No Aplica |  Tipo de Empresa: Privada |  Tipo de Novedad: No Monetaria |  Estado del Proceso 1: Tramitado con Anterioridad |  Usuario Responsable: Ledher Julian Martin Sierra Cristancho |  Respuesta procesamiento Cobis: Correo Electronico |  Radicado de Correspondencia Recibida: 02-2303-202203240411647 | </t>
  </si>
  <si>
    <t xml:space="preserve">Radicado: 28-4701-202203280020194 |  Número de Identificación: 70855730 |  Nombre o Razón Social: BARRERA  JOHNY ANDRES |  País: COLOMBIA |  Departamento: ANTIOQUIA |  Ciudad: MEDELLIN |  Dirección: CL 10 #10-49 APTO 202 |  Teléfono: 3006487696 |  E-mail: ANDRESBARRERA0924@GMAIL.COM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02-4701-202203280427892 | </t>
  </si>
  <si>
    <t xml:space="preserve">Radicado: 28-2303-202203300020812 |  Número de Identificación: 92640849 |  Nombre o Razón Social: ANDRIS  HERRERA OSORIO |  País: COLOMBIA |  Departamento: SUCRE |  Ciudad: SAMPUES |  Dirección: CL 64   5   02 |  Teléfono: 6870895 |  E-mail: emidt15@hotmail.com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02-2303-202203300447235 | </t>
  </si>
  <si>
    <t xml:space="preserve">Radicado: 28-4601-202203290020446 |  Número de Identificación: 39751934 |  Nombre o Razón Social: CASCAVITA HERRERA  MARIA ESPERANZA |  País: COLOMBIA |  Departamento: BOGOTA |  Ciudad: BOGOTA |  Dirección: CRR 68A # 39H-79 VILLA NUEVA |  Teléfono: 3209500348 |  E-mail: D_IAN10@HOTMAIL.COM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02-4601-202203290435318 | </t>
  </si>
  <si>
    <t xml:space="preserve">Radicado: 28-2303-202203230019423 |  Número de Identificación: 9002697964 |  Nombre o Razón Social: STYLE H SAS |  País: COLOMBIA |  Departamento: BOGOTA |  Ciudad: BOGOTA |  Dirección: CR 53 #46-31 PISO 11 CC METROHUECO |  Teléfono: 4449399 |  E-mail: recursoshumanos@stylehjeans.com.co |  Número de Folios : 0 |  Tipología: Novedades Aportes de Cesantias |  Requiere Modificación: No |  Tipo de Modificación: No Aplica |  Tipo de Empresa: Privada |  Tipo de Novedad: No Monetaria |  Estado del Proceso 1: Tramitado con Anterioridad |  Usuario Responsable: Breidy Julieth Quiroga Noguera |  Respuesta procesamiento Cobis: Correo Electronico |  Radicado de Correspondencia Recibida: 02-2303-202203230399459 | </t>
  </si>
  <si>
    <t xml:space="preserve">Radicado: 28-4702-202203300020766 |  Número de Identificación: 1002556342 |  Nombre o Razón Social: NINO MENDIVELSO ISAAC |  País: COLOMBIA |  Departamento: BOYACA |  Ciudad: SOGAMOSO |  Dirección: CRA 21 14B 30 |  Teléfono: 3136492162 |  E-mail: ISAACNII08@GMAIL.COM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02-4702-202203300445656 | </t>
  </si>
  <si>
    <t xml:space="preserve">Radicado: 28-2303-202203250019944 |  Número de Identificación: 8911800914  |  Nombre o Razón Social: HOSP SAN FRANCISCO DE ASIS -EMPRESA SOCIAL DEL ESTADO- |  País: COLOMBIA |  Departamento: HUILA |  Ciudad: NEIVA |  Dirección: CL 12 6-40 |  Teléfono: 0009887840 |  E-mail: agodoy@fna.gov.co |  Número de Folios : 1 |  Tipología: Cargue de Aportes Entidades Publicas Y Privadas y/o Modificacion de Aportes o Disponible |  Requiere Modificación: No |  Tipo de Modificación: No Aplica |  Tipo de Empresa: Publica |  Tipo de Novedad: No Monetaria |  Estado del Proceso 1: Ok. Aprobado |  Usuario Responsable: Breidy Julieth Quiroga Noguera |  Estado del Proceso 3: Dev. Devuelto |  Causal de Devolución PNC de Cara al Tercero 2: Documentación Incompleta |  Respuesta procesamiento Cobis: Correo Electronico |  Radicado de Correspondencia Recibida: 02-2303-202203250417413 | </t>
  </si>
  <si>
    <t xml:space="preserve">Radicado: 28-2303-202203280020243 |  Número de Identificación: 1143328732 |  Nombre o Razón Social: MALDONADO HERNANDEZ WILSON ANT |  País: COLOMBIA |  Departamento: BOLIVAR |  Ciudad: CARTAGENA |  Dirección: 0 |  Teléfono: 0| |  E-mail: wilsonymariaangel1220@hotmail.com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02-2303-202203280429891 | </t>
  </si>
  <si>
    <t xml:space="preserve">Radicado: 28-2303-202203240019698 |  Número de Identificación: 55237606 |  Nombre o Razón Social: HEIDY MARGARITA TORRES MARTINEZ |  País: COLOMBIA |  Departamento: BOGOTA |  Ciudad: BOGOTA |  Dirección: CR 30   40   52 |  Teléfono: 3703273 |  E-mail: sachavilla14@gmail.com |  Número de Folios : 1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02-2303-202203240410522 | </t>
  </si>
  <si>
    <t xml:space="preserve">Radicado: 28-2303-202203280020250 |  Número de Identificación: 8999990031 |  Nombre o Razón Social: SECRETARIA GENERAL DEL MINISTERIO DE DEFENSA |  País: COLOMBIA |  Departamento: BOGOTA |  Ciudad: BOGOTA |  Dirección: CR 13 # 27 - 00 EDF BOCHICA OF 627 |  Teléfono: 3150111 |  E-mail: Wilmar.Sora@mindefensa.gov.co |  Número de Folios : 0 |  Tipología: Apoyo Empresas |  Tipo de solicitud: Validacion de reporte |  Motivo: Envío información cesantías |  Medio de recepción: Buzón Apoyo Empresas |  Requiere Modificación: No |  Tipo de Modificación: No Aplica |  Tipo de Empresa: Publica |  Tipo de Novedad: Monetaria |  Estado del Proceso 1: Ok. Aprobado |  Usuario Responsable: Ledher Julian Martin Sierra Cristancho |  Estado del Proceso 3: Ok. Aprobado |  Resultado captura: Otras Solicitudes |  Respuesta procesamiento Cobis: Correo Electronico |  Requiere respuesta: No |  Radicado de Correspondencia Recibida: 02-2303-202203280429985 | </t>
  </si>
  <si>
    <t xml:space="preserve">Radicado: 28-4301-202203300020708 |  Número de Identificación: 32705462 |  Nombre o Razón Social: VILLADIEGO RODRIGUEZ ELSY MARIA |  País: COLOMBIA |  Departamento: ATLANTICO |  Ciudad: BARRANQUILLA |  Dirección: CL 52D #11-27 |  Teléfono: 3137697173 |  E-mail: LUZMERY1108@OUTLOOK.COM |  Número de Folios : 2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02-4301-202203300443846 | </t>
  </si>
  <si>
    <t xml:space="preserve">Radicado: 28-4303-202203300020729 |  Número de Identificación: 1124372198 |  Nombre o Razón Social: LUIS EMILIO PLATA BARROS |  País: COLOMBIA |  Departamento: GUAJIRA |  Ciudad: RIOHACHA |  Dirección: CR 12B # 18 42 |  Teléfono: 3207354285 |  E-mail: LUISEMILIOPLATABARROS@GMAIL.COM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02-4303-202203300444724 | </t>
  </si>
  <si>
    <t xml:space="preserve">Radicado: 28-2303-202203300020751 |  Número de Identificación: 38602074 |  Nombre o Razón Social: MARIN GOMEZ VALENTINA |  País: COLOMBIA |  Departamento: BOGOTA |  Ciudad: BOGOTA |  Dirección: 0 |  Teléfono: 7577210 |  E-mail: @ |  Número de Folios : 0 |  Tipología: Novedades Aportes de Cesantias |  Requiere Modificación: No |  Tipo de Modificación: No Aplica |  Tipo de Empresa: Privada |  Tipo de Novedad: Monetaria |  Estado del Proceso 1: Ok. Aprobado |  Usuario Responsable: Oscar Ramiro Reyes Prada |  Estado del Proceso 3: Ok. Aprobado |  Respuesta procesamiento Cobis: Correo Electronico |  Radicado de Correspondencia Recibida: 02-2303-202203300445472 | </t>
  </si>
  <si>
    <t xml:space="preserve">Radicado: 28-2303-202203280020144 |  Número de Identificación: 9012872569 |  Nombre o Razón Social: TECNI ELECTRICOS JR CALDERON SAS |  País: COLOMBIA |  Departamento: BOGOTA |  Ciudad: BOGOTA |  Dirección: CR 76 # 71 - 87 |  Teléfono: 2242957 |  E-mail: N/A |  Número de Folios : 0 |  Tipología: Novedades Aportes de Cesantias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Radicado de Correspondencia Recibida: 02-2303-202203280426341 | </t>
  </si>
  <si>
    <t xml:space="preserve">Radicado: 28-4701-202203300020703 |  Número de Identificación: 1036648534 |  Nombre o Razón Social: LONDONO AGUDELO JOHANA |  País: COLOMBIA |  Departamento: ANTIOQUIA |  Ciudad: MEDELLIN |  Dirección: CL 58 # 5 E 27 IN 123 CAICEDO |  Teléfono: 3118879117 |  E-mail: JOHANAL40@HOTMAIL.COM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02-4701-202203300443686 | </t>
  </si>
  <si>
    <t xml:space="preserve">Radicado: 28-4805-202203280020214 |  Número de Identificación: 1144029620 |  Nombre o Razón Social: CARLOS ANDRES GALLON |  País: COLOMBIA |  Departamento: VALLE DEL CAUCA |  Ciudad: CALI |  Dirección: CR 94A 48-65 TORRE 1 APTO 401 |  Teléfono: 3002706749 |  E-mail: CARLOSGALLON1989@HOTMAIL.COM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02-4805-202203280428898 | </t>
  </si>
  <si>
    <t xml:space="preserve">Radicado: 28-2303-202203160018307 |  Número de Identificación: 1003776879 |  Nombre o Razón Social: GARZON ARIAS NATALIA |  País: COLOMBIA |  Departamento: BOGOTA |  Ciudad: BOGOTA |  Dirección: CARRERA 9 # 74-SUR 21 |  Teléfono: 3219055999 |  E-mail: NATISYDUVIS18@GMAIL.COM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02-2303-202203160368298 | </t>
  </si>
  <si>
    <t xml:space="preserve">Radicado: 28-2303-202203100016410 |  Número de Identificación: 9002697964 |  Nombre o Razón Social: STYLE H SAS |  País: COLOMBIA |  Departamento: BOGOTA |  Ciudad: BOGOTA |  Dirección: CR 53 # 46 - 31 PS 11 CC METROHUECO |  Teléfono: 4449399 |  E-mail: recursoshumanos@stylehjeans.com.co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02-2303-202203100330005 | </t>
  </si>
  <si>
    <t xml:space="preserve">Radicado: 28-2303-202203180019056 |  Número de Identificación: 8305063926 |  Nombre o Razón Social: MORANGO SA |  País: COLOMBIA |  Departamento: BOGOTA |  Ciudad: BOGOTA |  Dirección: CL 163 A # 22 - 52 |  Teléfono: 6680030 |  E-mail: mterreros@morangosa.com |  Número de Folios : 0 |  Tipología: Apoyo Empresas |  Tipo de solicitud: Validacion de reporte |  Motivo: CASO MORANGO SAS NIT 830506392 |  Medio de recepción: Buzón Apoyo Empresas |  Requiere Modificación: No |  Tipo de Modificación: No Aplica |  Tipo de Empresa: Privada |  Tipo de Novedad: Monetaria |  Estado del Proceso 1: Tramitado con Anterioridad |  Usuario Responsable: Oscar  Ramiro Reyes Prada |  Estado del Proceso 2: Ok. Aprobado |  Resultado captura: Otras Solicitudes |  Respuesta procesamiento Cobis: Correo Electronico |  Requiere respuesta: No |  Radicado de Correspondencia Recibida: 02-2303-202203180385842 | </t>
  </si>
  <si>
    <t xml:space="preserve">Radicado: 28-4601-202203240019633 |  Número de Identificación: 8001859292 |  Nombre o Razón Social: DIRECCION NAL DEL DERECHO DE AUTOR |  País: COLOMBIA |  Departamento: BOGOTA |  Ciudad: BOGOTA |  Dirección: CL 28 # 13 A 15 PISO 17 |  Teléfono: 3418177 |  E-mail: N/A |  Número de Folios : 7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02-4601-202203240408232 | </t>
  </si>
  <si>
    <t xml:space="preserve">Radicado: 28-2303-202203280020142 |  Número de Identificación: 8999991031 |  Nombre o Razón Social: SENADO DE LA REPUBLICA |  País: COLOMBIA |  Departamento: BOGOTA |  Ciudad: BOGOTA |  Dirección: CR 7 #8-68 |  Teléfono: 3826211 |  E-mail: paulo.rincon@senado.gov.co |  Número de Folios : 1 |  Tipología: Novedades Aportes de Cesantias |  Requiere Modificación: No |  Tipo de Modificación: No Aplica |  Tipo de Empresa: Publica |  Tipo de Novedad: Monetaria Especial |  Estado del Proceso 1: Ok. Aprobado |  Usuario Responsable: Breidy Julieth Quiroga Noguera |  Estado del Proceso 3: Ok. Aprobado |  Respuesta procesamiento Cobis: Correo Electronico |  Radicado de Correspondencia Recibida: 02-2303-202203280426013 | </t>
  </si>
  <si>
    <t xml:space="preserve">Radicado: 28-2303-202203310020952 |  Número de Identificación: 37543548 |  Nombre o Razón Social: CARREÑO FUENTES MARIA TERESA |  País: COLOMBIA |  Departamento: BOGOTA |  Ciudad: BOGOTA |  Dirección: NA |  Teléfono: NA |  E-mail: dominio@dominio.com |  Número de Folios : 1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02-2303-202203310453497 | </t>
  </si>
  <si>
    <t xml:space="preserve">Radicado: 28-2303-202203280020345 |  Número de Identificación: 1019076784 |  Nombre o Razón Social: FERNEY ANDRES ROJAS HERNANDEZ |  País: COLOMBIA |  Departamento: BOGOTA |  Ciudad: BOGOTA |  Dirección: CL 127F #94-88 |  Teléfono: 3144868406 |  E-mail: farh921123@gmail.com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02-2303-202203280432521 | </t>
  </si>
  <si>
    <t xml:space="preserve">Radicado: 28-2303-202203300020768 |  Número de Identificación: 90038770010 |  Nombre o Razón Social: LABORATORIO DE COSMETICOS LIDER OM SAS  |  País: COLOMBIA |  Departamento: TOLIMA |  Ciudad: IBAGUE |  Dirección: CRA 12 N 37-04 |  Teléfono: 3127916005 |  E-mail: COSMETICOSLIDER_OM@HOTMAIL.COM |  Número de Folios : 0 |  Tipología: Planilla Manual |  Requiere Modificación: No |  Tipo de Modificación: No Aplica |  Tipo de Empresa: Privada |  Tipo de Novedad: Monetaria |  Estado del Proceso 1: Ok. Aprobado |  Usuario Responsable: Ledher Julian Martin Sierra Cristancho |  Respuesta procesamiento Cobis: Correo Electronico |  Requiere respuesta: No |  Radicado de Correspondencia Recibida: 02-2303-202203300445665 | </t>
  </si>
  <si>
    <t xml:space="preserve">Radicado: 28-4603-202203290020430 |  Número de Identificación: 1019076784 |  Nombre o Razón Social: FERNEY ANDRES ROJAS HERNANDEZ |  País: COLOMBIA |  Departamento: BOGOTA |  Ciudad: BOGOTA |  Dirección: CLL 75  70-33 |  Teléfono: 3144868406 |  E-mail: farh921123@gmail.com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02-4603-202203290434797 | </t>
  </si>
  <si>
    <t xml:space="preserve">Radicado: 28-4702-202203280020209 |  Número de Identificación: 1100366 |  Nombre o Razón Social: JOSE INOCENCIO MONTANEZ MARTINEZ |  País: COLOMBIA |  Departamento: BOYACA |  Ciudad: OICATA |  Dirección: VDA FORANTIVA |  Teléfono: 3138948534 |  E-mail: na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02-4702-202203280428691 | </t>
  </si>
  <si>
    <t xml:space="preserve">Radicado: 28-2303-202203260020073 |  Número de Identificación: 8300693612 |  Nombre o Razón Social: EDIFICIO PARQUE MINERVA PROPIEDAD HORIZONTAL |  País: COLOMBIA |  Departamento: BOGOTA |  Ciudad: BOGOTA |  Dirección: CL 69 # 5 20 |  Teléfono: 3124481741 |  E-mail: administracion@habitacora.com.co |  Número de Folios : 0 |  Tipología: Apoyo Empresas |  Tipo de solicitud: Validacion de reporte |  Motivo: Fwd: Traslado de dineros |  Medio de recepción: Buzón Apoyo Empresas |  Requiere Modificación: No |  Tipo de Modificación: No Aplica |  Tipo de Empresa: Privada |  Tipo de Novedad: No Monetaria |  Estado del Proceso 1: Ok. Aprobado |  Usuario Responsable: Breidy Julieth Quiroga Noguera |  Estado del Proceso 3: Ok. Aprobado |  Resultado captura: Otras Solicitudes |  Respuesta procesamiento Cobis: Correo Electronico |  Requiere respuesta: No |  Radicado de Correspondencia Recibida: 02-2303-202203260421854 | </t>
  </si>
  <si>
    <t xml:space="preserve">Radicado: 28-2303-202203290020410 |  Número de Identificación: 1067904267 |  Nombre o Razón Social: KAYLA TATIANA RUIZ FUENTES |  País: COLOMBIA |  Departamento: CORDOBA |  Ciudad: MONTERIA |  Dirección: MZ 7 LT 18 |  Teléfono: 3207580672 |  E-mail: ti-s25@hotmail.com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02-2303-202203290434170 | </t>
  </si>
  <si>
    <t xml:space="preserve">Radicado: 28-2303-202203310020932 |  Número de Identificación: 8923012915 |  Nombre o Razón Social: VIVA BIEN SAS |  País: COLOMBIA |  Departamento: CESAR |  Ciudad: VALLEDUPAR |  Dirección: CR 10 # 16 B - 43 |  Teléfono: 5743548 |  E-mail: anapaz@mayales.com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02-2303-202203310451081 | </t>
  </si>
  <si>
    <t xml:space="preserve">Radicado: 28-4603-202203280020223 |  Número de Identificación: 1022994767 |  Nombre o Razón Social: ESTEFANY HELENA POLO BALLEN |  País: COLOMBIA |  Departamento: BOGOTA |  Ciudad: BOGOTA |  Dirección: CL 88 # 2 ES-50 |  Teléfono: 3114823127 |  E-mail: helena123estefany@hotmail.com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02-4603-202203280429366 | </t>
  </si>
  <si>
    <t xml:space="preserve">Radicado: 28-2303-202203310020901 |  Número de Identificación: 9005260859 |  Nombre o Razón Social: EQUIPOS Y SERVICIOS TREX DE COLOMBIA SAS |  País: COLOMBIA |  Departamento: BOGOTA |  Ciudad: BOGOTA |  Dirección: CL 10 # 39 - 06 BOD 4 |  Teléfono: 3827956 |  E-mail: maria.arroyo@equipostrex.com |  Número de Folios : 0 |  Tipología: Apoyo Empresas |  Tipo de solicitud: Validacion de reporte |  Motivo: RADICAR EQUIPOS Y SERVICIOS TREX DE COLOMBIA SAS NIT 9005260859 |  Medio de recepción: Buzón Apoyo Empresas |  Requiere Modificación: No |  Tipo de Modificación: No Aplica |  Tipo de Empresa: Privada |  Tipo de Novedad: No Monetaria |  Estado del Proceso 1: Ok. Aprobado |  Usuario Responsable: Oscar Ramiro Reyes Prada |  Resultado captura: Otras Solicitudes |  Respuesta procesamiento Cobis: Correo Electronico |  Requiere respuesta: No |  Radicado de Correspondencia Recibida: 02-2303-202203310450152 | </t>
  </si>
  <si>
    <t xml:space="preserve">Radicado: 28-4805-202203300020804 |  Número de Identificación: 10306267 |  Nombre o Razón Social: CAMPO BOLANOS JOSE MAURICIO |  País: COLOMBIA |  Departamento: VALLE DEL CAUCA |  Ciudad: CALI |  Dirección: CR 43 96C 07 |  Teléfono: 3108576642 |  E-mail: JOSMAUN1985@HOTMAIL.COM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02-4805-202203300447045 | </t>
  </si>
  <si>
    <t xml:space="preserve">Radicado: 28-2303-202203280020309 |  Número de Identificación: 9003980051 |  Nombre o Razón Social: 48 DIAS SAS |  País: COLOMBIA |  Departamento: BOGOTA |  Ciudad: BOGOTA |  Dirección: 0 |  Teléfono: 03015408924  |  E-mail: julioalbertopastor@gmail.com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02-2303-202203280432294 | </t>
  </si>
  <si>
    <t xml:space="preserve">Radicado: 28-2303-202203310020957 |  Número de Identificación: 9007255480 |  Nombre o Razón Social: COSECHAS POBLADO SAS |  País: COLOMBIA |  Departamento: ANTIOQUIA |  Ciudad: MEDELLIN |  Dirección: 0 |  Teléfono: 0 |  E-mail: sandris19@gmail.com |  Número de Folios : 0 |  Tipología: Apoyo Empresas |  Tipo de solicitud: Validacion de reporte |  Motivo: Correccion de consignacion cesantias  |  Medio de recepción: Buzón Apoyo Empresas |  Radicado de Correspondencia Recibida: 02-2303-202203310453612 | </t>
  </si>
  <si>
    <t xml:space="preserve">Radicado: 28-4805-202203300020821 |  Número de Identificación: 31330642 |  Nombre o Razón Social: LULICO GOMEZ DELKA SIRLEY |  País: COLOMBIA |  Departamento: VALLE DEL CAUCA |  Ciudad: CALI |  Dirección: CR 49C # 54-96 |  Teléfono: 3117961504 |  E-mail: DESILUGO8@HOTMAIL.COM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02-4805-202203300447524 | </t>
  </si>
  <si>
    <t xml:space="preserve">Radicado: 28-2303-202203290020474 |  Número de Identificación: 1061793346 |  Nombre o Razón Social: ORTIZ LLEDESMA ROBINSON DANILO |  País: COLOMBIA |  Departamento: NARIÑO |  Ciudad: PASTO |  Dirección: MZ 23 CS 12 DIV 1 - TAMAAGRA 1 |  Teléfono: 3187069566 |  E-mail: RDORTIZLE@GMAIL.COM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02-2303-202203290436671 | </t>
  </si>
  <si>
    <t xml:space="preserve">Radicado: 28-4903-202203300020738 |  Número de Identificación: 8911800091 |  Nombre o Razón Social: ALCALDIA MUNICIPAL DE NEIVA |  País: COLOMBIA |  Departamento: HUILA |  Ciudad: NEIVA |  Dirección: CL 9 - 9 - 74 |  Teléfono: 8711041 |  E-mail: NOTIENE@GMAIL.COM |  Número de Folios : 2 |  Tipología: Planilla Manual |  Radicado de Correspondencia Recibida: 02-4903-202203300444899 | </t>
  </si>
  <si>
    <t xml:space="preserve">Radicado: 28-2303-202203240019762 |  Número de Identificación: 8000707831 |  Nombre o Razón Social: IMOSER INGENIEROS LIMITADA |  País: COLOMBIA |  Departamento: BOGOTA |  Ciudad: BOGOTA |  Dirección: CL 16 I # 96 H - 28 |  Teléfono: 4186086 |  E-mail: contabilidad@imoser.com |  Número de Folios : 0 |  Tipología: Novedades Aportes de Cesantias |  Requiere Modificación: Si |  Tipo de Modificación: Disponible |  Tipo de Empresa: Privada |  Tipo de Novedad: Monetaria |  Estado del Proceso 1: Ok. Aprobado |  Usuario Responsable: Breidy Julieth Quiroga Noguera |  Estado del Proceso 2: Ok. Aprobado |  Respuesta procesamiento Cobis: Correo Electronico |  Radicado de Correspondencia Recibida: 02-2303-202203240411373 | </t>
  </si>
  <si>
    <t xml:space="preserve">Radicado: 28-2303-202203300020669 |  Número de Identificación: 8914800302 |  Nombre o Razón Social: ALCALDIA MUNICIPAL DE PEREIRA |  País: COLOMBIA |  Departamento: RISARALDA |  Ciudad: PEREIRA |  Dirección: CR 7 - 18 - 55 PALACIO MUNICIPAL |  Teléfono: 3248054 |  E-mail: recursoshumanos@pereira.gov.co |  Número de Folios : 1 |  Tipología: Novedades Aportes de Cesantias |  Requiere Modificación: No |  Tipo de Modificación: No Aplica |  Tipo de Empresa: Publica |  Tipo de Novedad: Monetaria |  Estado del Proceso 1: Tramitado con Anterioridad |  Usuario Responsable: Ledher Julian Martin Sierra Cristancho |  Estado del Proceso 3: Ok. Aprobado |  Respuesta procesamiento Cobis: Correo Electronico |  Radicado de Correspondencia Recibida: 02-2303-202203300442397 | </t>
  </si>
  <si>
    <t xml:space="preserve">Radicado: 28-4601-202203230019502 |  Número de Identificación: 1010200312 |  Nombre o Razón Social: LOSADA MONJE JAIRO ANDRES |  País: COLOMBIA |  Departamento: BOGOTA |  Ciudad: BOGOTA |  Dirección: CL 40 # 22-34 |  Teléfono: 3192087968 |  E-mail: JAIR.LOSADA@HOTMAIL.COM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02-4601-202203230402585 | </t>
  </si>
  <si>
    <t xml:space="preserve">Radicado: 28-4601-202203230019544 |  Número de Identificación: 1018443681 |  Nombre o Razón Social: LEON SANABRIA JHON FREDY |  País: COLOMBIA |  Departamento: BOGOTA |  Ciudad: BOGOTA |  Dirección: CR 89B #40-25  SUR patio bonito |  Teléfono: 3102690165 |  E-mail: JHON.LEON30@HOTMAIL.ES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02-4601-202203230403837 | </t>
  </si>
  <si>
    <t xml:space="preserve">Radicado: 28-2303-202203250020011 |  Número de Identificación: 9014040391 |  Nombre o Razón Social: CONSORCIO GUAVIARE2506 |  País: COLOMBIA |  Departamento: META |  Ciudad: VILLAVICENCIO |  Dirección: CL 15 # 40 - 01 |  Teléfono: 0 |  E-mail: JURIDICA@PRISMADAV.COM |  Número de Folios : 0 |  Tipología: Planilla Manual |  Requiere Modificación: No |  Tipo de Modificación: No Aplica |  Tipo de Empresa: Privada |  Tipo de Novedad: No Monetaria |  Estado del Proceso 1: Ok. Aprobado |  Usuario Responsable: Ledher Julian Martin Sierra Cristancho |  Estado del Proceso 3: Dev. Devuelto |  Causal de Devolución PNC de Cara al Tercero 2: Documentación Incompleta |  Respuesta procesamiento Cobis: Correo Electronico |  Requiere respuesta: No |  Radicado de Correspondencia Recibida: 02-2303-202203250419650 | </t>
  </si>
  <si>
    <t xml:space="preserve">Radicado: 28-2303-202203310020991 |  Número de Identificación: 52427309 |  Nombre o Razón Social: MUÑOZ LABAJOS NATALIA ALEXANDRA |  País: COLOMBIA |  Departamento: BOGOTA |  Ciudad: BOGOTA |  Dirección: N/A |  Teléfono: N/A |  E-mail: nosoriov@deaj.ramajudicial.gov.co |  Número de Folios : 1 |  Tipología: Novedades Aportes de Cesantias |  Motivo: Corrección cédula y y reversar valor que se encuentra en el número de cc  7144602  por $8.840.237 y depositarlo en la cuenta de la entidad |  Requiere Modificación: No |  Tipo de Modificación: No Aplica |  Tipo de Empresa: Publica |  Tipo de Novedad: Monetaria |  Estado del Proceso 1: Ok. Aprobado |  Usuario Responsable: Ledher Julian Martin Sierra Cristancho |  Respuesta procesamiento Cobis: Correo Electronico |  Radicado de Correspondencia Recibida: 02-2303-202203310456283 | </t>
  </si>
  <si>
    <t xml:space="preserve">Radicado: 28-2303-202203170018608 |  Número de Identificación: 8915800168 |  Nombre o Razón Social: GOBERNACION DEL CAUCA |  País: COLOMBIA |  Departamento: CAUCA |  Ciudad: POPAYAN |  Dirección: CR 6 # 3 - 82 |  Teléfono: 8244201 |  E-mail: seguridadsocial@cauca.gov.co |  Número de Folios : 0 |  Tipología: Novedades Aportes de Cesantias |  Requiere Modificación: No |  Tipo de Modificación: No Aplica |  Tipo de Empresa: Publica |  Tipo de Novedad: Autorizacion TVA |  Estado del Proceso 1: Tramitado con Anterioridad |  Usuario Responsable: Ledher Julian Martin Sierra Cristancho |  Estado del Proceso 2: Ok. Aprobado |  Respuesta procesamiento Cobis: Correo Electronico |  Radicado de Correspondencia Recibida: 02-2303-202203170377934 | </t>
  </si>
  <si>
    <t xml:space="preserve">Radicado: 28-4703-202203310020981 |  Número de Identificación: 1053874857 |  Nombre o Razón Social: MELENDEZ LONDONO LEONARDO JAVIER |  País: COLOMBIA |  Departamento: CALDAS |  Ciudad: MANIZALES |  Dirección: CALLE 96 35A 03 |  Teléfono: 3128135963 |  E-mail: LEONARDOJAVIERMELENDEZ82@GMAIL.COM |  Número de Folios : 3 |  Tipología: Novedades Aportes de Cesantias |  Radicado de Correspondencia Recibida: 02-4703-202203310455691 | </t>
  </si>
  <si>
    <t xml:space="preserve">Radicado: 28-2303-202203290020478 |  Número de Identificación: 8999990619 |  Nombre o Razón Social: PERSONERIA DE BOGOTA |  País: COLOMBIA |  Departamento: BOGOTA |  Ciudad: BOGOTA |  Dirección: CR 7 A # 21 - 24 |  Teléfono: 3820450 |  E-mail: pvasquez@personeriabogota.gov.co |  Número de Folios : 0 |  Tipología: Novedades Aportes de Cesantias |  Requiere Modificación: No |  Tipo de Modificación: No Aplica |  Tipo de Empresa: Publica |  Tipo de Novedad: Autorizacion TVA |  Estado del Proceso 1: Tramitado con Anterioridad |  Usuario Responsable: Oscar Ramiro Reyes Prada |  Estado del Proceso 2: Ok. Aprobado |  Respuesta procesamiento Cobis: Correo Electronico |  Radicado de Correspondencia Recibida: 02-2303-202203290436898 | </t>
  </si>
  <si>
    <t xml:space="preserve">Radicado: 28-4704-202203310020984 |  Número de Identificación: 1031141619 |  Nombre o Razón Social: MARTIN BOLAï¿½OS JEAN PIERRTE |  País: COLOMBIA |  Departamento: QUINDIO |  Ciudad: ARMENIA |  Dirección: SEC GUADUALES DE LA VILLA # 34 MZ 3 |  Teléfono: 3192195660 |  Número de Folios : 2 |  Tipología: Novedades Aportes de Cesantias |  Radicado de Correspondencia Recibida: 02-4704-202203310455829 | </t>
  </si>
  <si>
    <t xml:space="preserve">Radicado: 28-2303-202203230019376 |  Número de Identificación: 9011104074 |  Nombre o Razón Social: PROYECTO E SAS |  País: COLOMBIA |  Departamento: BOGOTA |  Ciudad: BOGOTA |  Dirección: CR 68 G # 74 B - 56 |  Teléfono: 0 |  Número de Folios : 0 |  Tipología: Apoyo Empresas |  Estado del Proceso 1: Ok. Aprobado |  Resultado captura: Otras Solicitudes |  Requiere respuesta: No |  Radicado de Correspondencia Recibida: 02-2303-202203230397892 | </t>
  </si>
  <si>
    <t xml:space="preserve">Radicado: 28-2303-202203310020947 |  Número de Identificación: 1089001012 |  Nombre o Razón Social: LUIS CARLOS CALENTIERRA FRANCO |  País: COLOMBIA |  Departamento: NARIÑO |  Ciudad: MOSQUERA |  Dirección: AV LOS ESTUDIANTES CS 11 - 2 |  Teléfono: 3102348736 |  E-mail: luiscarosidsn@gmail.com |  Número de Folios : 0 |  Tipología: Novedades Aportes de Cesantias |  Requiere Modificación: No |  Tipo de Modificación: No Aplica |  Tipo de Empresa: Publica |  Tipo de Novedad: Correccion de Nombre sin Formato |  Estado del Proceso 1: Ok. Aprobado |  Usuario Responsable: Oscar Ramiro Reyes Prada |  Estado del Proceso 3: Ok. Aprobado |  Respuesta procesamiento Cobis: Correo Electronico |  Radicado de Correspondencia Recibida: 02-2303-202203310452954 | </t>
  </si>
  <si>
    <t xml:space="preserve">Radicado: 28-2303-202203250020069 |  Número de Identificación: 9007517312 |  Nombre o Razón Social: CIRUVASCULAR SAS |  País: COLOMBIA |  Departamento: ANTIOQUIA |  Ciudad: MEDELLIN |  Dirección: CALLE 40 # 65 67  |  Teléfono: 2656588 |  E-mail: distribuidorapicasso@gmail.com |  Número de Folios : 0 |  Tipología: Planilla Manual |  Requiere Modificación: No |  Tipo de Modificación: No Aplica |  Tipo de Empresa: Privada |  Tipo de Novedad: Monetaria |  Estado del Proceso 1: Ok. Aprobado |  Usuario Responsable: Oscar Ramiro Reyes Prada |  Estado del Proceso 3: Dev. Devuelto |  Causal de Devolución PNC de Cara al Tercero 2: Inconsistencias en el Formato |  Respuesta procesamiento Cobis: Correo Electronico |  Requiere respuesta: No |  Radicado de Correspondencia Recibida: 02-2303-202203250421738 | </t>
  </si>
  <si>
    <t xml:space="preserve">Radicado: 28-2303-202203300020837 |  Número de Identificación: 8498283 |  Nombre o Razón Social: FONTALVO CHARRIS CARLOS GUADITH |  País: COLOMBIA |  Departamento: ATLANTICO |  Ciudad: SANTO TOMAS |  Dirección: CL 9 # 12-151 |  Teléfono: 3013755452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02-2303-202203300448313 | </t>
  </si>
  <si>
    <t xml:space="preserve">Radicado: 28-4604-202203310020979 |  Número de Identificación: 20472288 |  Nombre o Razón Social: ANAYA CHAVES MARIA  OLIVA |  País: COLOMBIA |  Departamento: BOGOTA |  Ciudad: BOGOTA |  Dirección: CR 1C #29-30 CASA |  Teléfono: 8615217 |  Número de Folios : 6 |  Tipología: Novedades Aportes de Cesantias |  Radicado de Correspondencia Recibida: 02-4604-202203310455431 | </t>
  </si>
  <si>
    <t xml:space="preserve">Radicado: 28-4706-202203310020893 |  Número de Identificación: 1095938486 |  Nombre o Razón Social: BAUTISTA LOAIZA JHONNATHAN |  País: COLOMBIA |  Departamento: SANTANDER |  Ciudad: BUCARAMANGA |  Dirección: CL 22 # 17-140 |  Teléfono: 3175236170 |  E-mail: JHONNATANBAUTISTA800@GMAIL.COM |  Número de Folios : 2 |  Tipología: Novedades Aportes de Cesantias |  Radicado de Correspondencia Recibida: 02-4706-202203310449881 | </t>
  </si>
  <si>
    <t xml:space="preserve">Radicado: 28-4803-202203310020970 |  Número de Identificación: 1085292883 |  Nombre o Razón Social: BOTINA TEZ JOHN |  País: COLOMBIA |  Departamento: NARIÑO |  Ciudad: PASTO |  Dirección: CASA OD1 BUESAQUILLO |  Teléfono: 3145190512 |  Número de Folios : 3 |  Tipología: Novedades Aportes de Cesantias |  Radicado de Correspondencia Recibida: 02-4803-202203310454344 | </t>
  </si>
  <si>
    <t xml:space="preserve">Radicado: 28-2303-202203230019449 |  Número de Identificación: 8999990429 |  Nombre o Razón Social: MINISTERIO DE RELACIONES EXTERIORES |  País: COLOMBIA |  Departamento: BOGOTA |  Ciudad: BOGOTA |  Dirección: CR 5 9-03 |  Teléfono: 3814000 |  E-mail: jose.solano@cancilleria.gov.co |  Número de Folios : 1 |  Tipología: Novedades Aportes de Cesantias |  Requiere Modificación: No |  Tipo de Modificación: No Aplica |  Tipo de Empresa: Publica |  Tipo de Novedad: Monetaria |  Estado del Proceso 1: Ok. Aprobado |  Usuario Responsable: Breidy Julieth Quiroga Noguera |  Estado del Proceso 2: Ok. Aprobado |  Respuesta procesamiento Cobis: Correo Electronico |  Radicado de Correspondencia Recibida: 02-2303-202203230401129 | </t>
  </si>
  <si>
    <t xml:space="preserve">Radicado: 28-2303-202203290020397 |  Número de Identificación: 30350782 |  Nombre o Razón Social: FLORIDO QUINONES YERALDINE |  País: COLOMBIA |  Departamento: CALDAS |  Ciudad: LA DORADA |  Dirección: CL 16 # 9 - 27 |  Teléfono: 3132691846 |  E-mail: BELYI-L-L@LIVE.COM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02-2303-202203290433727 | </t>
  </si>
  <si>
    <t xml:space="preserve">Radicado: 28-2303-202203280020294 |  Número de Identificación: 50913443 |  Nombre o Razón Social: CUELLO LOPEZ DALIS CUELLO |  País: COLOMBIA |  Departamento: CORDOBA |  Ciudad: MONTERIA |  Dirección: MZ 96 L 9 |  Teléfono: 3135792960 |  E-mail: n/a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02-2303-202203280431782 | </t>
  </si>
  <si>
    <t xml:space="preserve">Radicado: 28-2303-202203290020501 |  Número de Identificación: 25389516 |  Nombre o Razón Social: ANGULO  MARIA ELENA |  País: COLOMBIA |  Departamento: VALLE DEL CAUCA |  Ciudad: CALI |  Dirección: MZ 3 CASA 8 ETP |  Teléfono: 5142756 |  E-mail: MANGULO0310@GMAIL.COM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02-2303-202203290437777 | </t>
  </si>
  <si>
    <t xml:space="preserve">Radicado: 28-2303-202203310020994 |  Número de Identificación: 98666054 |  Nombre o Razón Social: HOYOS MARTINEZ CAMILO HERNANDO Y O TALLER ARCO |  País: COLOMBIA |  Departamento: CHOCO |  Ciudad: QUIBDO |  Dirección: CRA 1 32 12 |  Teléfono: 6721452 |  E-mail: TALLERARCO@HOTMAIL.COM |  Número de Folios : 0 |  Tipología: Novedades Aportes de Cesantias |  Radicado de Correspondencia Recibida: 02-2303-202203310457218 | </t>
  </si>
  <si>
    <t xml:space="preserve">Radicado: 28-2303-202204010020996 |  Número de Identificación: 8999991022 |  Nombre o Razón Social: FUERZA AEREA COLOMBIANA FAC |  País: COLOMBIA |  Departamento: BOGOTA |  Ciudad: BOGOTA |  Dirección: CR 52 AV EL DORADO OF 311 CAN |  Teléfono: 3150111 |  E-mail: NOHORA.LATORRES@FAC.MIL.CO |  Número de Folios : 1 |  Tipología: Cargue de Aportes Entidades Publicas Y Privadas y/o Modificacion de Aportes o Disponible |  Radicado de Correspondencia Recibida: 02-2303-202204010457468 | </t>
  </si>
  <si>
    <t xml:space="preserve">Radicado: 28-2303-202203310020891 |  Número de Identificación: 43204384 |  Nombre o Razón Social: CUARTAS VILLEGAS GLADYS  ESTELLA |  País: COLOMBIA |  Departamento: ANTIOQUIA |  Ciudad: MEDELLIN |  Dirección: CR 25 B # 37 - 47 |  Teléfono: 3002500383 |  E-mail: GLADYSVILLEGAS2009@HOTMAIL.ES |  Número de Folios : 0 |  Tipología: Novedades Aportes de Cesantias |  Radicado de Correspondencia Recibida: 02-2303-202203310449790 | </t>
  </si>
  <si>
    <t xml:space="preserve">Radicado: 28-2303-202203310020906 |  Número de Identificación: 1020836343 |  Nombre o Razón Social: MELO  SUAREZ FELIPE STEVEN |  País: COLOMBIA |  Departamento: BOGOTA |  Ciudad: BOGOTA |  Dirección: CR 140 B # 131 - 10 |  Teléfono: 3219934859 |  E-mail: pipemeli17@gmail.com |  Número de Folios : 0 |  Tipología: Novedades Aportes de Cesantias |  Radicado de Correspondencia Recibida: 02-2303-202203310450313 | </t>
  </si>
  <si>
    <t xml:space="preserve">Radicado: 28-2303-202203310020918 |  Número de Identificación: 52429995 |  Nombre o Razón Social: ESPARZA CALDERON DIANA P |  País: COLOMBIA |  Departamento: BOGOTA |  Ciudad: BOGOTA |  Dirección: CR 45 # 56 - 44 APTO 404 |  Teléfono: 3012477075 |  E-mail: DIANAESPARZA@HOTMAIL.COM |  Número de Folios : 0 |  Tipología: Novedades Aportes de Cesantias |  Radicado de Correspondencia Recibida: 02-2303-202203310450696 | </t>
  </si>
  <si>
    <t xml:space="preserve">Radicado: 28-2303-202203290020521 |  Número de Identificación: 1102379265 |  Nombre o Razón Social: RUIZ VILLABONA CESAR AUGUSTO |  País: COLOMBIA |  Departamento: SANTANDER |  Ciudad: PIEDECUESTA |  Dirección: MZ K CASA 4 BRISAS 1 |  Teléfono: 3107910177 |  E-mail: CESARAUGUST31542@HOTMAIL.COM |  Número de Folios : 2 |  Tipología: Novedades Aportes de Cesantias |  Radicado de Correspondencia Recibida: 02-2303-202203290438473 | </t>
  </si>
  <si>
    <t xml:space="preserve">Radicado: 28-4805-202203300020677 |  Número de Identificación: 94486077 |  Nombre o Razón Social: GUTIERREZ  CARLOS ALBERTO |  País: COLOMBIA |  Departamento: VALLE DEL CAUCA |  Ciudad: CALI |  Dirección: CL 54B 48B 40 |  Teléfono: 3045729866 |  Número de Folios : 2 |  Tipología: Novedades Aportes de Cesantias |  Radicado de Correspondencia Recibida: 02-4805-202203300442697 | </t>
  </si>
  <si>
    <t xml:space="preserve">Radicado: 28-4903-202203300020740 |  Número de Identificación: 1075221543 |  Nombre o Razón Social: CUELLAR ROJAS EDISSON JAVIER |  País: COLOMBIA |  Departamento: HUILA |  Ciudad: NEIVA |  Dirección: CL 18 # H SUR |  Teléfono: 3102283641 |  E-mail: EDISONJAMER@GMAIL.COM |  Número de Folios : 3 |  Tipología: Novedades Aportes de Cesantias |  Radicado de Correspondencia Recibida: 02-4903-202203300444920 | </t>
  </si>
  <si>
    <t xml:space="preserve">Radicado: 28-4603-202203290020467 |  Número de Identificación: 901331750 |  Nombre o Razón Social: MEDINA GOLDEN SAS |  País: COLOMBIA |  Departamento: BOGOTA |  Ciudad: BOGOTA |  Dirección: CR 10 # 18 - 61 PS 2 |  Teléfono: 3414576 |  Número de Folios : 2 |  Tipología: Planilla Manual |  Radicado de Correspondencia Recibida: 02-4603-202203290436217 | </t>
  </si>
  <si>
    <t xml:space="preserve">Radicado: 28-2303-202203310020959 |  Número de Identificación: 1116270472 |  Nombre o Razón Social: JOHAN STEVEN VARGAS |  País: COLOMBIA |  Departamento: VALLE DEL CAUCA |  Ciudad: RESTREPO |  Dirección: CR 34A # 41-47 |  Teléfono: 6000000 |  E-mail: dominio@dominio.com |  Número de Folios : 1 |  Tipología: Novedades Aportes de Cesantias |  Radicado de Correspondencia Recibida: 02-2303-202203310453637 | </t>
  </si>
  <si>
    <t xml:space="preserve">Radicado: 28-2303-202203310020967 |  Número de Identificación: 8918551381 |  Nombre o Razón Social: ALCALDIA MUNICIPAL DE DUITAMA |  País: COLOMBIA |  Departamento: BOYACA |  Ciudad: DUITAMA |  Dirección: EDIFICIO CENTRO ADVO. ESQUINA |  Teléfono: 7602641 |  E-mail: notificacionesSAC1@mineducacion.gov.co |  Número de Folios : 0 |  Tipología: Novedades Aportes de Cesantias |  Radicado de Correspondencia Recibida: 02-2303-202203310454083 | </t>
  </si>
  <si>
    <t xml:space="preserve">Radicado: 28-4702-202203310020968 |  Número de Identificación: 46355022 |  Nombre o Razón Social: CACERES VEGA AURA CECILIA |  País: COLOMBIA |  Departamento: BOYACA |  Ciudad: TUNJA |  Dirección: CR 7A #13A-20 |  Teléfono: 3115840105 |  E-mail: ALICEDYP@HOTMAIL.COM |  Número de Folios : 2 |  Tipología: Novedades Aportes de Cesantias |  Radicado de Correspondencia Recibida: 02-4702-202203310454154 | </t>
  </si>
  <si>
    <t xml:space="preserve">Radicado: 28-2303-202203130017344 |  Número de Identificación: 9012251651 |  Nombre o Razón Social: EURO MARCALI S.A.S |  País: COLOMBIA |  Departamento: BOGOTA |  Ciudad: BOGOTA |  Dirección: NA |  Teléfono: 3275000 |  E-mail: N/A |  Número de Folios : 0 |  Tipología: Apoyo Empresas |  Requiere Modificación: No |  Tipo de Modificación: No Aplica |  Tipo de Empresa: Privada |  Tipo de Novedad: Monetaria |  Estado del Proceso 1: Dev. Devuelto |  Usuario Responsable: Ledher Julian Martin Sierra Cristancho |  Resultado captura: Otras Solicitudes |  Respuesta procesamiento Cobis: Correo Electronico |  Requiere respuesta: No |  Radicado de Correspondencia Recibida: 02-2303-202203130346478 | </t>
  </si>
  <si>
    <t xml:space="preserve">Radicado: 28-4301-202203260020093 |  Número de Identificación: 8788212 |  Nombre o Razón Social: PLAZA ROJANO JHONNY HERNAN |  País: COLOMBIA |  Departamento: ATLANTICO |  Ciudad: BARRANQUILLA |  Dirección: CR 9B SUR # 47B-30 CA |  Teléfono: 3113558176 |  E-mail: na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Fisico |  Radicado de Correspondencia Recibida: 02-4301-202203260422005 | </t>
  </si>
  <si>
    <t xml:space="preserve">Radicado: 28-2303-202203260020129 |  Número de Identificación: 1214725158 |  Nombre o Razón Social: BUSTAMANTE VERGARA LEIDY KETHERINE |  País: COLOMBIA |  Departamento: BOGOTA |  Ciudad: BOGOTA |  Dirección: CR 39A # 67-62 IN 201 |  Teléfono: 6000000 |  E-mail: LEIDYJERO@HOTMAIL.COM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02-2303-202203260425252 | </t>
  </si>
  <si>
    <t xml:space="preserve">Radicado: 28-2303-202203300020782 |  Número de Identificación: 1007164313 |  Nombre o Razón Social: ESPANA ERASO DIEGO ANDRES |  País: COLOMBIA |  Departamento: NARIÑO |  Ciudad: LA UNION |  Dirección: B CARLOS LLERAS |  Teléfono: 3235174750 |  E-mail: 1089DIEGO@GMAIL.COM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02-2303-202203300446195 | </t>
  </si>
  <si>
    <t xml:space="preserve">Radicado: 28-4303-202203300020635 |  Número de Identificación: 92154064 |  Nombre o Razón Social: GEOVANNY ENRIQUE SIMANCA MARTINEZ |  País: COLOMBIA |  Departamento: CESAR |  Ciudad: VALLEDUPAR |  Dirección: CL 26 # 16 30 |  Teléfono: 3046065313 |  E-mail: GEOVANNY.SIMANCA@UNP.GOV.CO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02-4303-202203300441178 | </t>
  </si>
  <si>
    <t xml:space="preserve">Radicado: 28-2303-202203280020227 |  Número de Identificación: 9002964892 |  Nombre o Razón Social: AMB ACOUSTIC SAS |  País: COLOMBIA |  Departamento: ANTIOQUIA |  Ciudad: MEDELLIN |  Dirección: CR 30 # 10 C - 228 OF 409 |  Teléfono: 3220226 |  E-mail: jorge.estrada@exeo.com.co |  Número de Folios : 0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Respuesta procesamiento Cobis: Correo Electronico |  Radicado de Correspondencia Recibida: 02-2303-202203280429409 | </t>
  </si>
  <si>
    <t xml:space="preserve">Radicado: 28-2303-202203310020953 |  Número de Identificación: 9001647550 |  Nombre o Razón Social: ZONA FRANCA ARGOS SAS |  País: COLOMBIA |  Departamento: BOGOTA |  Ciudad: BOGOTA |  Dirección: KM 7 MAMONAL |  Teléfono: 6685559 |  E-mail: lhincapieh@summa-sci.com |  Número de Folios : 1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02-2303-202203310453544 | </t>
  </si>
  <si>
    <t xml:space="preserve">Radicado: 28-2303-202203290020416 |  Número de Identificación: 1018432570 |  Nombre o Razón Social: HEIDYS SORAYA NIÑO PEREZ |  País: COLOMBIA |  Departamento: BOGOTA |  Ciudad: BOGOTA |  Dirección: TV 71 BIS # 75 A - 07 AP 406 2 |  Teléfono: 3044799944 |  E-mail: HSNP9083@GMAIL.COM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02-2303-202203290434565 | </t>
  </si>
  <si>
    <t xml:space="preserve">Radicado: 28-4703-202203310020973 |  Número de Identificación: 10287426 |  Nombre o Razón Social: CASTAÑEDA LUIS CARLOS |  País: COLOMBIA |  Departamento: CALDAS |  Ciudad: MANIZALES |  Dirección: CR 31 #15A - 07 |  Teléfono: 8806009 |  E-mail: PELIGRO1.13@HOTMAIL.COM |  Número de Folios : 3 |  Tipología: Novedades Aportes de Cesantias |  Radicado de Correspondencia Recibida: 02-4703-202203310454508 | </t>
  </si>
  <si>
    <t xml:space="preserve">Radicado: 28-4804-202203250019995 |  Número de Identificación: 8903990113 |  Nombre o Razón Social: ALCALDIA MUNICIPAL DE SANTIAGO DE CALI |  País: COLOMBIA |  Departamento: VALLE DEL CAUCA |  Ciudad: CALI |  Dirección: CAM TORRE ALCALDIA PSO 15 |  Teléfono: 6617249 |  E-mail: harold.ceron@cali.gov.co |  Número de Folios : 5 |  Tipología: Novedades Aportes de Cesantias |  Requiere Modificación: No |  Tipo de Modificación: No Aplica |  Tipo de Empresa: Publica |  Tipo de Novedad: Autorizacion TVA |  Estado del Proceso 1: Ok. Aprobado |  Usuario Responsable: Oscar Ramiro Reyes Prada |  Estado del Proceso 2: Ok. Aprobado |  Respuesta procesamiento Cobis: Correo Electronico |  Radicado de Correspondencia Recibida: 02-4804-202203250419013 | </t>
  </si>
  <si>
    <t xml:space="preserve">Radicado: 28-4601-202203300020788 |  Número de Identificación: 147836405 |  Nombre o Razón Social: HERRERA HERRERA ANIBAL JESUS |  País: COLOMBIA |  Departamento: BOGOTA |  Ciudad: BOGOTA |  Dirección: CALLE 19A 1B 72 |  Teléfono: 317567165 |  E-mail: ANIBALHERRERA11@GMAIL.COM |  Número de Folios : 5 |  Tipología: Novedades AVC Monetarias |  Radicado de Correspondencia Recibida: 02-4601-202203300446415 | </t>
  </si>
  <si>
    <t xml:space="preserve">Radicado: 28-4601-202203300020810 |  Número de Identificación: 52325047 |  Nombre o Razón Social: ANA PATRICIA MUNOZ GIL |  País: COLOMBIA |  Departamento: CUNDINAMARCA |  Ciudad: FUNZA |  Dirección: CR 19 #9-38 CASA |  Teléfono: NO TIENE |  E-mail: PATOGIL19@HOTMAIL.COM |  Número de Folios : 2 |  Tipología: Novedades AVC Monetarias |  Radicado de Correspondencia Recibida: 02-4601-202203300447160 | </t>
  </si>
  <si>
    <t xml:space="preserve">Radicado: 28-4708-202203310020972 |  Número de Identificación: 1121926369 |  Nombre o Razón Social: GOMEZ BANGUERO CARLOS ANDRES |  País: COLOMBIA |  Departamento: META |  Ciudad: VILLAVICENCIO |  Dirección: CL 59 # 43-06 PORFIA |  Teléfono: 3015123970 |  E-mail: andresbangueroo@outlook.com |  Número de Folios : 3 |  Tipología: Novedades AVC Monetarias |  Radicado de Correspondencia Recibida: 02-4708-202203310454465 | </t>
  </si>
  <si>
    <t xml:space="preserve">Radicado: 28-4804-202203310020969 |  Número de Identificación: 1113698490 |  Nombre o Razón Social: VILLOTA LONDOï¿½O YERALDY |  País: COLOMBIA |  Departamento: VALLE DEL CAUCA |  Ciudad: CALI |  Dirección: CL 47 # 11A-18 |  Teléfono: 3163514524 |  E-mail: YERALDYVILLOTA15@GMAIL.COM |  Número de Folios : 5 |  Tipología: Novedades AVC Monetarias |  Radicado de Correspondencia Recibida: 02-4804-202203310454305 | </t>
  </si>
  <si>
    <t xml:space="preserve">Radicado: 04-2303-202203300016750 |  ¿Requiere que la petición sea anónima?: NO |  Justifique la razón por la cual debe ser anónima:  |  Tipo de documento: CEDULA DE CIUDADANIA |  Número de documento: 34604408 |  Apellidos y Nombres: CUELLAR SARRIA LEONOR |  Género: Femenino |  Pais de residencia: COLOMBIA |  Departamento de residencia: BOGOTA |  Ciudad de residencia: BOGOTA |  Dirección: CL 16 #15-48 |  Teléfono casa / oficina: 1 |  Teléfono Móvil: 1 |  Autoriza el envío de la respuesta a su correo electrónico: SI |  Correo Electrónico: LEONORCUELLARSARRIA@GMAIL.COM |  Tipo de población: Cliente |  Tipo de petición: TRAMITES O SERVICIOS |  Tipologia: Solicitud acerca de Cuentas |  Descripción de la petición: SOLICITUD 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02-2303-202203300447860 |  Radicado respuesta:  |  Radicado respuesta Parcial:  |  Tipología (Homologada): Solicitud acerca de Cuentas |  Tipo Petición (Homologada): TRAMITES O SERVICIOS | </t>
  </si>
  <si>
    <t xml:space="preserve">Radicado: 04-4706-202203300016735 |  ¿Requiere que la petición sea anónima?: NO |  Tipo de documento: CEDULA DE CIUDADANIA |  Número de documento: 1099369298 |  Apellidos y Nombres: SANCHEZ CASTRO BRAULIO HERNANDO |  Género: Masculino |  Pais de residencia: COLOMBIA |  Departamento de residencia: SANTANDER |  Ciudad de residencia: BUCARAMANGA |  Dirección: CL PRINCIPAL PEATONAL  01 CASA 201 |  Teléfono Móvil: 3184266585 |  Autoriza el envío de la respuesta a su correo electrónico: SI |  Correo Electrónico: sanchezbraulio93@hotmail.com |  Tipo de población: Cliente |  Tipo de petición: Escoja una opción |  Tipologia: PQRS |  Descripción de la petición: SOLCITUD TRASLADO DE SALDOS A CUENTA AVC |  Medio Recepción: Punto de atención |  Nivel de respuesta: Escoja una opción |  Area responsable: Escoja una opción |  Cédula Asesor: 37616342 |  Nombre del Asesor: CLAUDIA MILENA GOMEZ LIZCANO  |  Punto de Atención: Bucaramanga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02-4706-202203300447339 |  Radicado respuesta:  |  Radicado respuesta Parcial:  |  Tipología (Homologada): PQRS |  Tipo Petición (Homologada): Escoja una opción | </t>
  </si>
  <si>
    <t xml:space="preserve">Radicado: 04-2303-202203300016810 |  ¿Requiere que la petición sea anónima?: NO |  Justifique la razón por la cual debe ser anónima:  |  Tipo de documento: CEDULA DE CIUDADANIA |  Número de documento: 1093760567 |  Apellidos y Nombres: PEREZ SANCHEZ JHON JAIRO |  Género: Masculino |  Pais de residencia: COLOMBIA |  Departamento de residencia: BOGOTA |  Ciudad de residencia: BOGOTA |  Dirección: CL 1 # 0  0 |  Teléfono casa / oficina: 0 |  Teléfono Móvil: 0 |  Autoriza el envío de la respuesta a su correo electrónico: SI |  Correo Electrónico: IVONNINO474@GMAIL.COM |  Tipo de población: Cliente |  Tipo de petición: TRAMITES O SERVICIOS |  Tipologia: Solicitud acerca de Cuentas |  Descripción de la petición: Traslado de dinero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02-2303-202203300449154 |  Radicado respuesta:  |  Radicado respuesta Parcial:  |  Tipología (Homologada): Solicitud acerca de Cuentas |  Tipo Petición (Homologada): TRAMITES O SERVICIOS | </t>
  </si>
  <si>
    <t xml:space="preserve">Radicado: 04-2303-202203310016877 |  ¿Requiere que la petición sea anónima?: NO |  Tipo de documento: CEDULA DE CIUDADANIA |  Número de documento: 2183180 |  Apellidos y Nombres: HENDER JOSE JIMENEZ OMAÑA |  Género: Masculino |  Pais de residencia: COLOMBIA |  Departamento de residencia: SANTANDER |  Ciudad de residencia: SAN GIL |  Dirección: CR 12 # 7-160 AP 101-BARRIO-LA-PLAYA |  Teléfono casa / oficina: 7243814 |  Teléfono Móvil: 0 |  Autoriza el envío de la respuesta a su correo electrónico: NO |  Correo Electrónico: email@dominio.com |  Tipo de población: Cliente |  Tipo de petición: Escoja una opción |  Tipologia: PQRS |  Descripción de la petición: SOLICITUD CESANTÍAS |  Medio Recepción: Correspondencia |  Nivel de respuesta: Escoja una opción |  Area responsable: Escoja una opción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02-2303-202203310450589 |  Radicado respuesta:  |  Radicado respuesta Parcial:  |  Tipología (Homologada): PQRS |  Tipo Petición (Homologada): Escoja una opción | </t>
  </si>
  <si>
    <t xml:space="preserve">Radicado: 04-2303-202203310016985 |  ¿Requiere que la petición sea anónima?: NO |  Justifique la razón por la cual debe ser anónima: No Aplica |  Tipo de documento: CEDULA DE CIUDADANIA |  Número de documento: 45561513 |  Apellidos y Nombres: PACHECO CASTRO JEISMY |  Género: Femenino |  Pais de residencia: COLOMBIA |  Departamento de residencia: BOLIVAR |  Ciudad de residencia: CARTAGENA |  Dirección: MZ MALIBU # 1  TORRE3APRTAMENTO401 |  Teléfono casa / oficina: 0000000 |  Teléfono Móvil: 3045508227 |  Autoriza el envío de la respuesta a su correo electrónico: SI |  Correo Electrónico: JEISMY84@HOTMAIL.COM |  Tipo de población: Cliente |  Tipo de petición: RECLAMO |  Tipologia: Inconformidad con el proceso de traslado de cesantías hacia el FNA |  Descripción de la petición: Inconformidad con el proceso de traslado de cesantías hacia el FNA |  Medio Recepción: Contact Center |  Area responsable: CALIDAD CAPTACION |  Radicado correspondencia recibida: 02-2303-202203310453706 |  Tipología (Homologada): Inconformidad con el proceso de traslado de cesantías hacia el FNA |  Tipo Petición (Homologada): RECLAMO | </t>
  </si>
  <si>
    <t xml:space="preserve">Radicado: 04-4708-202203300016618 |  ¿Requiere que la petición sea anónima?: NO |  Tipo de documento: CEDULA DE CIUDADANIA |  Número de documento: 1032483956 |  Apellidos y Nombres: AGUDELO CENDALES MONICA LUCIA |  Género: Femenino |  Pais de residencia: COLOMBIA |  Departamento de residencia: META |  Ciudad de residencia: VILLAVICENCIO |  Dirección: CL 80 # 118  30 |  Teléfono Móvil: 3152027840 |  Autoriza el envío de la respuesta a su correo electrónico: SI |  Correo Electrónico: LUCIAAGUDELO@OUTLOOK.COM |  Tipo de población: Cliente |  Tipo de petición: Escoja una opción |  Tipologia: PQRS |  Descripción de la petición: SOLICITUD |  Medio Recepción: Correspondencia |  Nivel de respuesta: Escoja una opción |  Area responsable: Escoja una opción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02-4708-202203300442302 |  Radicado respuesta:  |  Radicado respuesta Parcial:  |  Tipología (Homologada): PQRS |  Tipo Petición (Homologada): Escoja una opción | </t>
  </si>
  <si>
    <t xml:space="preserve">Radicado: 04-2303-202203310017003 |  ¿Requiere que la petición sea anónima?: NO |  Justifique la razón por la cual debe ser anónima: No Aplica |  Tipo de documento: Cédula de ciudadania |  Número de documento: 1000748630 |  Apellidos y Nombres: Laura alejandra camargo salazar |  Género: Femenino |  Pais de residencia: COLOMBIA |  Departamento de residencia: ANTIOQUIA |  Ciudad de residencia: MEDELLIN |  Dirección: Carr 74 # 103  C 26 |  Teléfono casa / oficina: No Aplica |  Teléfono Móvil: No Aplica |  Autoriza el envío de la respuesta a su correo electrónico: SI |  Correo Electrónico: lauracamargo11@gmail.com |  Tipo de población: Ciudadano |  Tipo de petición: RECLAMO |  Tipologia: Inconformidad con el proceso de traslado de cesantías hacia el FNA |  Descripción de la petición: Adjunto carta con petición desistimiento de traslado. |  Medio Recepción: Web |  Radicado correspondencia recibida: 02-2303-202203310453974 |  Alias: N/A |  Tipología (Homologada): Inconformidad con el proceso de traslado de cesantías hacia el FNA |  Tipo Petición (Homologada): RECLAMO | </t>
  </si>
  <si>
    <t xml:space="preserve">Radicado: 04-4601-202203300016698 |  ¿Requiere que la petición sea anónima?: NO |  Tipo de documento: CEDULA DE CIUDADANIA |  Número de documento: 80256647 |  Apellidos y Nombres: JERRI SAVIER PULIDO DIAZ |  Género: Masculino |  Pais de residencia: COLOMBIA |  Departamento de residencia: BOGOTA |  Ciudad de residencia: BOGOTA |  Dirección: CR 98B # 72-25  CASA147 |  Teléfono casa / oficina: 7239774 |  Teléfono Móvil: 3125311899 |  Autoriza el envío de la respuesta a su correo electrónico: NO |  Correo Electrónico: email@dominio.com |  Tipo de población: Cliente |  Tipo de petición: Escoja una opción |  Tipologia: PQRS |  Descripción de la petición: SOLICITUD |  Medio Recepción: Punto de atención |  Nivel de respuesta: Escoja una opción |  Area responsable: Escoja una opción |  Cédula Asesor: 1 |  Nombre del Asesor: Sin Informacion |  Punto de Atención: CNA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02-4601-202203300445805 |  Radicado respuesta:  |  Radicado respuesta Parcial:  |  Tipología (Homologada): PQRS |  Tipo Petición (Homologada): Escoja una opción | </t>
  </si>
  <si>
    <t xml:space="preserve">Radicado: 04-2303-202203310017061 |  ¿Requiere que la petición sea anónima?: NO |  Justifique la razón por la cual debe ser anónima:  |  Tipo de documento: CEDULA DE CIUDADANIA |  Número de documento: 51779627 |  Apellidos y Nombres: ANTONIO VIVAS AURORA |  Género: Femenino |  Pais de residencia: COLOMBIA |  Departamento de residencia: BOGOTA |  Ciudad de residencia: BOGOTA |  Dirección: CL 39SUR  # 72N-42 IN 7 AP 102 |  Teléfono casa / oficina: 4517182 |  Teléfono Móvil: 3143358882 |  Autoriza el envío de la respuesta a su correo electrónico: SI |  Correo Electrónico: OFICINABOGOTA2@CONDEABOGADOS.COM |  Tipo de población: Cliente |  Tipo de petición: TRAMITES O SERVICIOS |  Tipologia: Solicitud acerca de Crédito |  Descripción de la petición: SOLICITUD 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02-2303-202203310455953 |  Radicado respuesta:  |  Radicado respuesta Parcial:  |  Tipología (Homologada): Solicitud acerca de Crédito |  Tipo Petición (Homologada): TRAMITES O SERVICIOS | </t>
  </si>
  <si>
    <t xml:space="preserve">Radicado: 04-2303-202203310016990 |  ¿Requiere que la petición sea anónima?: NO |  Justifique la razón por la cual debe ser anónima:  |  Tipo de documento: CEDULA DE CIUDADANIA |  Número de documento: 5958117 |  Apellidos y Nombres: YESID RAMIREZ SALAS |  Género: Masculino |  Pais de residencia: COLOMBIA |  Departamento de residencia: BOGOTA |  Ciudad de residencia: BOGOTA |  Dirección: CL 32 # 13  32 |  Teléfono casa / oficina: 0 |  Teléfono Móvil: 3156488746 |  Autoriza el envío de la respuesta a su correo electrónico: SI |  Correo Electrónico: oficinabogota2@condeabogados.com |  Tipo de población: Cliente |  Tipo de petición: TRAMITES O SERVICIOS |  Tipologia: Solicitud Certificaciones de Cuentas |  Descripción de la petición: SOLICITUD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02-2303-202203310453776 |  Radicado respuesta:  |  Radicado respuesta Parcial:  |  Tipología (Homologada): Solicitud Certificaciones de Cuentas |  Tipo Petición (Homologada): TRAMITES O SERVICIOS | </t>
  </si>
  <si>
    <t xml:space="preserve">Radicado: 04-2303-202203280016288 |  ¿Requiere que la petición sea anónima?: NO |  Tipo de documento: CEDULA DE CIUDADANIA |  Número de documento: 40375809 |  Apellidos y Nombres: PEREZ VILLALOBOS CIELO JANETH |  Género: Femenino |  Pais de residencia: COLOMBIA |  Departamento de residencia: BOGOTA |  Ciudad de residencia: BOGOTA |  Dirección: CR 65 A 58 68 SUR MADELENA |  Teléfono casa / oficina: 5637771 |  Teléfono Móvil: 3156599076 |  Autoriza el envío de la respuesta a su correo electrónico: SI |  Correo Electrónico: OFICINABOGOTA2@CONDEABOGADOS.COM |  Tipo de población: Cliente |  Tipo de petición: TRAMITES O SERVICIOS |  Tipologia: Solicitud Certificaciones de Cuentas |  Descripción de la petición: SOLICITUD |  Medio Recepción: Contáctenos |  Nivel de respuesta: NIVEL III |  Area responsable: CAPTACION RESPUESTA |  Cédula Asesor: No aplica |  Nombre del Asesor: No aplica |  Punto de Atención: No aplica |  Estado: Aceptada |  Motivo: RTA |  Radicado correspondencia recibida: 02-2303-202203280432440 |  Tipología (Homologada): Solicitud Certificaciones de Cuentas |  Tipo Petición (Homologada): TRAMITES O SERVICIOS | </t>
  </si>
  <si>
    <t xml:space="preserve">Radicado: 04-4708-202203300016607 |  ¿Requiere que la petición sea anónima?: NO |  Tipo de documento: CEDULA DE CIUDADANIA |  Número de documento: 1006874412 |  Apellidos y Nombres: PEï¿½A GONZALEZ LESLY ROXANA |  Género: Femenino |  Pais de residencia: COLOMBIA |  Departamento de residencia: META |  Ciudad de residencia: VILLAVICENCIO |  Dirección: CR 8 # 9-75 |  Teléfono Móvil: 3153547017 |  Autoriza el envío de la respuesta a su correo electrónico: SI |  Correo Electrónico: LESLY.PGONZALEZ@OUTLOOK.COM |  Tipo de población: Cliente |  Tipo de petición: Escoja una opción |  Tipologia: PQRS |  Descripción de la petición: SOLICITUD |  Medio Recepción: Correspondencia |  Nivel de respuesta: Escoja una opción |  Area responsable: Escoja una opción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02-4708-202203300442042 |  Radicado respuesta:  |  Radicado respuesta Parcial:  |  Tipología (Homologada): PQRS |  Tipo Petición (Homologada): Escoja una opción | </t>
  </si>
  <si>
    <t>28-2303-202203310020907</t>
  </si>
  <si>
    <t>28-2303-202203220019320</t>
  </si>
  <si>
    <t>28-4804-202203310020929</t>
  </si>
  <si>
    <t>28-2303-202203310020924</t>
  </si>
  <si>
    <t>28-4604-202203260020113</t>
  </si>
  <si>
    <t>28-2303-202203310020910</t>
  </si>
  <si>
    <t>28-2303-202203310020919</t>
  </si>
  <si>
    <t>28-2303-202203310020940</t>
  </si>
  <si>
    <t>28-2303-202203300020681</t>
  </si>
  <si>
    <t>28-2303-202203310020943</t>
  </si>
  <si>
    <t>28-4601-202203230019501</t>
  </si>
  <si>
    <t>28-2303-202203310020944</t>
  </si>
  <si>
    <t>28-2303-202203240019906</t>
  </si>
  <si>
    <t>28-4903-202203300020736</t>
  </si>
  <si>
    <t>28-2303-202203310020977</t>
  </si>
  <si>
    <t>28-4701-202203300020703</t>
  </si>
  <si>
    <t>28-2303-202203310020952</t>
  </si>
  <si>
    <t>28-2303-202203300020768</t>
  </si>
  <si>
    <t>28-2303-202203310020932</t>
  </si>
  <si>
    <t>28-2303-202203310020901</t>
  </si>
  <si>
    <t>28-4805-202203300020804</t>
  </si>
  <si>
    <t>28-2303-202203310020957</t>
  </si>
  <si>
    <t>28-4805-202203300020821</t>
  </si>
  <si>
    <t>28-4903-202203300020738</t>
  </si>
  <si>
    <t>28-4601-202203230019502</t>
  </si>
  <si>
    <t>28-4601-202203230019544</t>
  </si>
  <si>
    <t>28-2303-202203310020991</t>
  </si>
  <si>
    <t>28-4703-202203310020981</t>
  </si>
  <si>
    <t>28-4704-202203310020984</t>
  </si>
  <si>
    <t>28-2303-202203230019376</t>
  </si>
  <si>
    <t>28-2303-202203310020947</t>
  </si>
  <si>
    <t>28-2303-202203250020069</t>
  </si>
  <si>
    <t>28-4604-202203310020979</t>
  </si>
  <si>
    <t>28-4706-202203310020893</t>
  </si>
  <si>
    <t>28-4803-202203310020970</t>
  </si>
  <si>
    <t>28-2303-202203310020994</t>
  </si>
  <si>
    <t>28-2303-202204010020996</t>
  </si>
  <si>
    <t>28-2303-202203310020891</t>
  </si>
  <si>
    <t>28-2303-202203310020906</t>
  </si>
  <si>
    <t>28-2303-202203310020918</t>
  </si>
  <si>
    <t>28-2303-202203290020521</t>
  </si>
  <si>
    <t>28-4805-202203300020677</t>
  </si>
  <si>
    <t>28-4903-202203300020740</t>
  </si>
  <si>
    <t>28-4603-202203290020467</t>
  </si>
  <si>
    <t>28-2303-202203310020959</t>
  </si>
  <si>
    <t>28-2303-202203310020967</t>
  </si>
  <si>
    <t>28-4702-202203310020968</t>
  </si>
  <si>
    <t>28-2303-202203310020953</t>
  </si>
  <si>
    <t>28-4703-202203310020973</t>
  </si>
  <si>
    <t>28-4804-202203250019995</t>
  </si>
  <si>
    <t>28-4601-202203300020788</t>
  </si>
  <si>
    <t>28-4601-202203300020810</t>
  </si>
  <si>
    <t>28-4708-202203310020972</t>
  </si>
  <si>
    <t>28-4804-202203310020969</t>
  </si>
  <si>
    <t>04-2303-202203300016750</t>
  </si>
  <si>
    <t>04-4706-202203300016735</t>
  </si>
  <si>
    <t>04-2303-202203300016810</t>
  </si>
  <si>
    <t>04-2303-202203310016877</t>
  </si>
  <si>
    <t>04-2303-202203310016985</t>
  </si>
  <si>
    <t>04-4708-202203300016618</t>
  </si>
  <si>
    <t>04-2303-202203310017003</t>
  </si>
  <si>
    <t>04-4601-202203300016698</t>
  </si>
  <si>
    <t>04-2303-202203310017061</t>
  </si>
  <si>
    <t>04-2303-202203310016990</t>
  </si>
  <si>
    <t>04-2303-202203280016288</t>
  </si>
  <si>
    <t>04-4708-202203300016607</t>
  </si>
  <si>
    <t>31-mar</t>
  </si>
  <si>
    <t>LUZ ANGELA SUAREZ</t>
  </si>
  <si>
    <t xml:space="preserve">Radicado: 28-2303-202204010021028 |  Número de Identificación: 8919021381 |  Nombre o Razón Social: CASA GRAJALES SA CASA GRAJALES SA |  País: COLOMBIA |  Departamento: VALLE DEL CAUCA |  Ciudad: LA UNION |  Dirección: FACTORIA LA RIVERA |  Teléfono: 3123951845 |  E-mail: Esmeralda-Naty@hotmail.com |  Número de Folios : 0 |  Tipología: Devolucion de Aportes |  Radicado de Correspondencia Recibida: 02-2303-202204010460128 | </t>
  </si>
  <si>
    <t xml:space="preserve">Radicado: 28-2303-202204010021039 |  Número de Identificación: 9003446594 |  Nombre o Razón Social: JMO INGENIERIA SAS |  País: COLOMBIA |  Departamento: VALLE DEL CAUCA |  Ciudad: CALI |  Dirección: Calle 14 C No.65 -120 Oficina 102-8 |  Teléfono: 3124332842 |  E-mail: JMOINGENIERIASAS@GMAIL.COM |  Número de Folios : 0 |  Tipología: Devolucion de Aportes |  Radicado de Correspondencia Recibida: 02-2303-202204010460531 | </t>
  </si>
  <si>
    <t xml:space="preserve">Radicado: 28-2303-202204010021043 |  Número de Identificación: 8301107509 |  Nombre o Razón Social: SYS TECHNOLOGIES LTDA |  País: COLOMBIA |  Departamento: BOGOTA |  Ciudad: BOGOTA |  Dirección: CL 23 D #80 B 34 |  Teléfono: 7557329 |  E-mail: dir.contable@gruposys.com.co |  Número de Folios : 0 |  Tipología: Devolucion de Aportes |  Radicado de Correspondencia Recibida: 02-2303-202204010460715 | </t>
  </si>
  <si>
    <t xml:space="preserve">Radicado: 28-2303-202204010021058 |  Número de Identificación: 9002397619 |  Nombre o Razón Social: ZUCOM S A  E S P |  País: COLOMBIA |  Departamento: BOGOTA |  Ciudad: BOGOTA |  Dirección: CR 43 B # 8 SUR - 10 |  Teléfono: 3218286 |  E-mail: mtangarife@zucom.co |  Número de Folios : 0 |  Tipología: Devolucion de Aportes |  Radicado de Correspondencia Recibida: 02-2303-202204010460899 | </t>
  </si>
  <si>
    <t xml:space="preserve">Radicado: 28-2303-202204010021113 |  Número de Identificación: 901283595 |  Nombre o Razón Social: MAS QUALITY GROUP S A S |  País: COLOMBIA |  Departamento: ANTIOQUIA |  Ciudad: MEDELLIN |  Dirección: CR 66 #49 - 01 LOCAL 110 |  Teléfono: 3229145 |  E-mail: valeria.abogada.sos@gmail.com |  Número de Folios : 0 |  Tipología: Devolucion de Aportes |  Radicado de Correspondencia Recibida: 02-2303-202204010461425 | </t>
  </si>
  <si>
    <t xml:space="preserve">Radicado: 28-4301-202204010021034 |  Número de Identificación: 8002531679 |  Nombre o Razón Social: HOSPITAL UNIVERSITARIO CARI EMPRESA  SOCIAL DEL ESTADO |  País: COLOMBIA |  Departamento: ATLANTICO |  Ciudad: BARRANQUILLA |  Dirección: CL 57 #23-100 |  Teléfono: 3309000 |  E-mail: PROCESOLIQUIDATORIO.CARI@ESESENLIQUIDACIÓN.COM |  Número de Folios : 3 |  Tipología: Devolucion de Aportes |  Radicado de Correspondencia Recibida: 02-4301-202204010460327 | </t>
  </si>
  <si>
    <t xml:space="preserve">Radicado: 28-2303-202204010021248 |  Número de Identificación: 8300912472 |  Nombre o Razón Social: CIA CONSULTORA  Y ADMINISTRADORA DE CARTERA CAC ABOGADOS LTDA |  País: COLOMBIA |  Departamento: BOGOTA |  Ciudad: BOGOTA |  Dirección: AV  28  39 B  03   09  BRR  LA SOLEDAD |  Teléfono: 1 |  E-mail: NOTIENE@HOTMAIL.COM |  Número de Folios : 1 |  Tipología: Devolucion de Aportes |  Radicado de Correspondencia Recibida: 02-2303-202204010464024 | </t>
  </si>
  <si>
    <t xml:space="preserve">Radicado: 28-2303-202204010021253 |  Número de Identificación: 9006147008 |  Nombre o Razón Social: TV CABLE TELECOMUNICACIONES SAS |  País: COLOMBIA |  Departamento: NORTE DE SANTANDER |  Ciudad: OCAÑA |  Dirección: CL 22AN #2-106 |  Teléfono: 5705279 |  E-mail: NEQUE.8@HOTMAIL.COM |  Número de Folios : 0 |  Tipología: Devolucion de Aportes |  Radicado de Correspondencia Recibida: 02-2303-202204010464160 | </t>
  </si>
  <si>
    <t xml:space="preserve">Radicado: 28-2303-202204010021278 |  Número de Identificación: 9006147008 |  Nombre o Razón Social: TV CABLE TELECOMUNICACIONES SAS |  País: COLOMBIA |  Departamento: NORTE DE SANTANDER |  Ciudad: OCAÑA |  Dirección: CL 22AN #2-106 |  Teléfono: 5705279 |  E-mail: NEQUE.8@HOTMAIL.COM |  Número de Folios : 0 |  Tipología: Devolucion de Aportes |  Radicado de Correspondencia Recibida: 02-2303-202204010464496 | </t>
  </si>
  <si>
    <t xml:space="preserve">Radicado: 28-2303-202204010021282 |  Número de Identificación: 8001611286 |  Nombre o Razón Social: CONCEPTOS GRAFICOS LTDA |  País: COLOMBIA |  Departamento: CHOCO |  Ciudad: QUIBDO |  Dirección: CL 18 No. 13-36 |  Teléfono: 7443127 |  E-mail: conceptosgraficosarmenia@hotmail.com |  Número de Folios : 0 |  Tipología: Devolucion de Aportes |  Radicado de Correspondencia Recibida: 02-2303-202204010464516 | </t>
  </si>
  <si>
    <t xml:space="preserve">Radicado: 28-2303-202204010021291 |  Número de Identificación: 9013528874 |  Nombre o Razón Social: LA RED ASESORA SOCIEDAD POR ACCIONES SIMPLIFICADA |  País: COLOMBIA |  Departamento: BOGOTA |  Ciudad: BOGOTA |  Dirección: Ak 80 No. 8 11 Of 3 512 |  Teléfono: 0 |  E-mail: laredasesorasas@gmail.com |  Número de Folios : 0 |  Tipología: Devolucion de Aportes |  Radicado de Correspondencia Recibida: 02-2303-202204010464545 | </t>
  </si>
  <si>
    <t xml:space="preserve">Radicado: 28-2303-202204020021347 |  Número de Identificación: 8140002508 |  Nombre o Razón Social: COLOMBIANA DE ESTRUCTURAS Y FORJA LTDA  |  País: COLOMBIA |  Departamento: NARIÑO |  Ciudad: PASTO |  Dirección: CR 1 # 3 - 105 CRR OBONUCO |  Teléfono: 3128324422 |  E-mail: info@ceforja.com |  Número de Folios : 0 |  Tipología: Devolucion de Aportes |  Radicado de Correspondencia Recibida: 02-2303-202204020467220 | </t>
  </si>
  <si>
    <t xml:space="preserve">Radicado: 28-2303-202203290020375 |  Número de Identificación: 900880506 |  Nombre o Razón Social: EUROFERT COLOMBIANA SAS |  País: COLOMBIA |  Departamento: BOGOTA |  Ciudad: BOGOTA |  Dirección: 0 |  Teléfono: 8928025 |  E-mail: recepcion@eurofertcolombia.com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02-2303-202203290432796 | </t>
  </si>
  <si>
    <t xml:space="preserve">Radicado: 28-4903-202203310020982 |  Número de Identificación: 1075296657 |  Nombre o Razón Social: AMAR GARZCIA JUAN DAVID |  País: COLOMBIA |  Departamento: HUILA |  Ciudad: NEIVA |  Dirección: CL 11 # 4 - 05 |  Teléfono: 3238131026 |  E-mail: JDA_1221@HOTMAIL.COM |  Número de Folios : 2 |  Tipología: Novedades Aportes de Cesantias |  Radicado de Correspondencia Recibida: 02-4903-202203310455799 | </t>
  </si>
  <si>
    <t xml:space="preserve">Radicado: 28-2303-202203250020069 |  Número de Identificación: 9007517312 |  Nombre o Razón Social: CIRUVASCULAR SAS |  País: COLOMBIA |  Departamento: ANTIOQUIA |  Ciudad: MEDELLIN |  Dirección: CALLE 40 # 65 67  |  Teléfono: 2656588 |  E-mail: distribuidorapicasso@gmail.com |  Número de Folios : 0 |  Tipología: Planilla Manual |  Requiere Modificación: Si |  Tipo de Modificación: Disponible |  Tipo de Empresa: Privada |  Tipo de Novedad: Monetaria |  Estado del Proceso 1: Ok. Aprobado |  Usuario Responsable: Oscar Ramiro Reyes Prada |  Estado del Proceso 3: Dev. Devuelto |  Causal de Devolución PNC de Cara al Tercero 2: Inconsistencias en el Formato |  Respuesta procesamiento Cobis: Correo Electronico |  Requiere respuesta: No |  Radicado de Correspondencia Recibida: 02-2303-202203250421738 | </t>
  </si>
  <si>
    <t xml:space="preserve">Radicado: 28-2303-202203090016117 |  Número de Identificación: 11053657392 |  Nombre o Razón Social: JOYERIA TOPACIO |  País: COLOMBIA |  Departamento: GUAVIARE |  Ciudad: SAN JOSE DEL GUAVIARE |  Dirección: CL 8 # 22 - 18 |  Teléfono: 3124785478 |  E-mail: ferroguaviare20@gmail.com |  Número de Folios : 0 |  Tipología: Novedades Aportes de Cesantias |  Requiere Modificación: Si |  Tipo de Modificación: Disponible |  Tipo de Empresa: Privada |  Tipo de Novedad: Monetaria |  Estado del Proceso 1: Ok. Aprobado |  Usuario Responsable: Jhonier James Leon Guzman |  Estado del Proceso 2: Ok. Aprobado |  Respuesta procesamiento Cobis: Correo Electronico |  Radicado de Correspondencia Recibida: 02-2303-202203090321266 | </t>
  </si>
  <si>
    <t xml:space="preserve">Radicado: 28-2303-202204010021076 |  Número de Identificación: 9002440793 |  Nombre o Razón Social: PARKING 18  LTDA |  País: COLOMBIA |  Departamento: BOGOTA |  Ciudad: BOGOTA |  Dirección: AK 20 # 120 - 14 OFI 101 |  Teléfono: 2439396 |  E-mail: morenosandoval-806@hotmail.com |  Número de Folios : 0 |  Tipología: Novedades Aportes de Cesantias |  Radicado de Correspondencia Recibida: 02-2303-202204010461105 | </t>
  </si>
  <si>
    <t xml:space="preserve">Radicado: 28-2303-202204010021081 |  Número de Identificación: 7169886 |  Nombre o Razón Social: SANABRIA ARIAS RAMOS ASIS |  País: COLOMBIA |  Departamento: BOGOTA |  Ciudad: BOGOTA |  Dirección: CR 1 #11-01 SUR URB MILENIUM III |  Teléfono: 8785574 |  Número de Folios : 0 |  Tipología: Novedades Aportes de Cesantias |  Radicado de Correspondencia Recibida: 02-2303-202204010461142 | </t>
  </si>
  <si>
    <t xml:space="preserve">Radicado: 28-2303-202203310020985 |  Número de Identificación: 1074002976 |  Nombre o Razón Social: BERROCAL LARA RUBENDAVID |  País: COLOMBIA |  Departamento: CORDOBA |  Ciudad: MONTERIA |  Dirección: TRV 16 14 77 |  Teléfono: 3002113367 |  E-mail: RUDAB95@GMAIL.COM |  Número de Folios : 2 |  Tipología: Novedades Aportes de Cesantias |  Radicado de Correspondencia Recibida: 02-2303-202203310455978 | </t>
  </si>
  <si>
    <t xml:space="preserve">Radicado: 28-2303-202203310020986 |  Número de Identificación: 1054559718 |  Nombre o Razón Social: OSPINA SALDANA MIGUEL ANGEL |  País: COLOMBIA |  Departamento: CALDAS |  Ciudad: LA DORADA |  Dirección: CRA 5A 39 171 PITALITO  |  Teléfono: 3137849408 |  E-mail: MIGUEL.OSPINA90@GMAIL.COM |  Número de Folios : 2 |  Tipología: Novedades Aportes de Cesantias |  Radicado de Correspondencia Recibida: 02-2303-202203310455994 | </t>
  </si>
  <si>
    <t xml:space="preserve">Radicado: 28-2303-202203310020989 |  Número de Identificación: 1056931798 |  Nombre o Razón Social: MOYANO SUAREZ DANIELANTONIO |  País: COLOMBIA |  Departamento: CORDOBA |  Ciudad: MONTERIA |  Dirección: NA |  Teléfono: 3224663429 |  E-mail: DANIELANTONIOSUAREZ99@GMAIL.COM |  Número de Folios : 2 |  Tipología: Novedades Aportes de Cesantias |  Radicado de Correspondencia Recibida: 02-2303-202203310456038 | </t>
  </si>
  <si>
    <t xml:space="preserve">Radicado: 28-4706-202204010021053 |  Número de Identificación: 37749969 |  Nombre o Razón Social: PAREDES  PATRICIA RIBERO |  País: COLOMBIA |  Departamento: SANTANDER |  Ciudad: BUCARAMANGA |  Dirección: CR 32 # 155-34  P 1 |  Teléfono: 3164889705 |  E-mail: ALEJITO2608@OUTLOOK.COM |  Número de Folios : 2 |  Tipología: Novedades Aportes de Cesantias |  Radicado de Correspondencia Recibida: 02-4706-202204010460834 | </t>
  </si>
  <si>
    <t xml:space="preserve">Radicado: 28-2303-202203300020754 |  Número de Identificación: 9007534815 |  Nombre o Razón Social: ARIAS DUQUE GROUP SAS |  País: COLOMBIA |  Departamento: BOGOTA |  Ciudad: BOGOTA |  Dirección: AVENIDA CALLE 86 # 24-54 |  Teléfono: 6918638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02-2303-202203300445499 | </t>
  </si>
  <si>
    <t xml:space="preserve">Radicado: 28-2303-202203280020263 |  Número de Identificación: 8110230248  |  Nombre o Razón Social: PINTURAS ASTECA LTDA |  País: COLOMBIA |  Departamento: BOGOTA |  Ciudad: BOGOTA |  Dirección: CL 29 #45 87 |  Teléfono: 2610844 |  E-mail: administracion@aztecapinturas.com |  Número de Folios : 0 |  Tipología: Apoyo Empresas |  Tipo de solicitud: Validacion de reporte |  Motivo: 
VALIDAR PAGO 
 |  Medio de recepción: Buzón Apoyo Empresas |  Requiere Modificación: No |  Tipo de Modificación: No Aplica |  Tipo de Empresa: Privada |  Tipo de Novedad: Correccion de Nombre sin Formato |  Estado del Proceso 1: Ok. Aprobado |  Usuario Responsable: Breidy Julieth Quiroga Noguera |  Resultado captura: Otras Solicitudes |  Respuesta procesamiento Cobis: Correo Electronico |  Requiere respuesta: Si |  Radicado de Correspondencia Recibida: 02-2303-202203280430152 | </t>
  </si>
  <si>
    <t xml:space="preserve">Radicado: 28-2303-202203300020833 |  Número de Identificación: 8605168065 |  Nombre o Razón Social: PERMODA  LTDA |  País: COLOMBIA |  Departamento: BOGOTA |  Ciudad: BOGOTA |  Dirección: CL 17A #68 D 88 |  Teléfono: 2948999 |  E-mail: yanedc@permoda.com.co |  Número de Folios : 0 |  Tipología: Novedades Aportes de Cesantias |  Requiere Modificación: No |  Tipo de Modificación: No Aplica |  Tipo de Empresa: Privada |  Tipo de Novedad: Monetaria |  Estado del Proceso 1: Ok. Aprobado |  Usuario Responsable: Jhonier James Leon Guzman |  Respuesta procesamiento Cobis: Correo Electronico |  Radicado de Correspondencia Recibida: 02-2303-202203300448253 | </t>
  </si>
  <si>
    <t xml:space="preserve">Radicado: 28-2303-202204010021130 |  Número de Identificación: 5207389 |  Nombre o Razón Social: JUAN ESTEBAN CADAVID GUERREO |  País: COLOMBIA |  Departamento: BOGOTA |  Ciudad: BOGOTA |  Dirección: CR 80 BIS # 7 A 15 TO 3 AP 305 |  Teléfono: 7334577 |  E-mail: juancadavidmd@hotmail.com |  Número de Folios : 0 |  Tipología: Novedades Aportes de Cesantias |  Radicado de Correspondencia Recibida: 02-2303-202204010461672 | </t>
  </si>
  <si>
    <t xml:space="preserve">Radicado: 28-2303-202203290020445 |  Número de Identificación: 9003849971 |  Nombre o Razón Social: DIRECCION EJECUTIVA DE LA JUSTICIA PENAL MILITAR MINDEFENSA |  País: COLOMBIA |  Departamento: BOGOTA |  Ciudad: BOGOTA |  Dirección: CR 10 # 26 - 71 EDF RES TEQUENDAMA TORRE SUR PISO 9 |  Teléfono: 3426299 |  E-mail: henry.meza@justiciamilitar.gov.co |  Número de Folios : 1 |  Tipología: Cargue de Aportes Entidades Publicas Y Privadas y/o Modificacion de Aportes o Disponible |  Requiere Modificación: No |  Tipo de Modificación: No Aplica |  Tipo de Empresa: Privada |  Tipo de Novedad: Autorizacion TVA |  Estado del Proceso 1: Ok. Aprobado |  Usuario Responsable: Jhonier James Leon Guzman |  Respuesta procesamiento Cobis: Correo Electronico |  Radicado de Correspondencia Recibida: 02-2303-202203290435295 | </t>
  </si>
  <si>
    <t xml:space="preserve">Radicado: 28-2303-202204010021147 |  Número de Identificación: 8001416441 |  Nombre o Razón Social: ARMADA NACIONAL DE COLOMBIA |  País: COLOMBIA |  Departamento: BOGOTA |  Ciudad: BOGOTA |  Dirección: CR 54 #26-25 CAN MDN |  Teléfono: 3692000 |  E-mail: maria.villada@armada.mil.co |  Número de Folios : 1 |  Tipología: Novedades Aportes de Cesantias |  Radicado de Correspondencia Recibida: 02-2303-202204010461825 | </t>
  </si>
  <si>
    <t xml:space="preserve">Radicado: 28-2303-202204010021177 |  Número de Identificación: 79780564 |  Nombre o Razón Social: MUNOZ BENITEZ EDWIN ANDRES |  País: COLOMBIA |  Departamento: BOGOTA |  Ciudad: BOGOTA |  Dirección: CL 152A # 54 37 |  Teléfono: 6670011 |  Número de Folios : 0 |  Tipología: Novedades Aportes de Cesantias |  Radicado de Correspondencia Recibida: 02-2303-202204010462078 | </t>
  </si>
  <si>
    <t xml:space="preserve">Radicado: 28-2303-202204010021195 |  Número de Identificación: 5040045 |  Nombre o Razón Social: CASTRO BAENA ROBERTO . |  País: COLOMBIA |  Departamento: BOGOTA |  Ciudad: BOGOTA |  Dirección: TV 48 #133-8 |  Teléfono: 6102731 |  Número de Folios : 0 |  Tipología: Novedades Aportes de Cesantias |  Radicado de Correspondencia Recibida: 02-2303-202204010462284 | </t>
  </si>
  <si>
    <t xml:space="preserve">Radicado: 28-2303-202204010021200 |  Número de Identificación: 9006834892 |  Nombre o Razón Social: CENTRO MEDICO VITAL DRA ALIA SANTANA SAS |  País: COLOMBIA |  Departamento: BOGOTA |  Ciudad: BOGOTA |  Dirección: AV CR 15 #93 60 LOC 1 18 |  Teléfono: 3003021 |  Número de Folios : 0 |  Tipología: Novedades Aportes de Cesantias |  Radicado de Correspondencia Recibida: 02-2303-202204010462379 | </t>
  </si>
  <si>
    <t xml:space="preserve">Radicado: 28-2303-202204010021201 |  Número de Identificación: 763685 |  Nombre o Razón Social: VIVAS BARRETO MARCO ANTONIO |  País: COLOMBIA |  Departamento: BOGOTA |  Ciudad: BOGOTA |  Dirección: CRA 81F 1A 18 |  Teléfono: 3219224253 |  Número de Folios : 0 |  Tipología: Novedades Aportes de Cesantias |  Radicado de Correspondencia Recibida: 02-2303-202204010462403 | </t>
  </si>
  <si>
    <t xml:space="preserve">Radicado: 28-2303-202204010021202 |  Número de Identificación: 9002581707 |  Nombre o Razón Social: PROYECTOS MEJIA FLOREZ Y CIA S EN C |  País: COLOMBIA |  Departamento: BOGOTA |  Ciudad: BOGOTA |  Dirección: CL 71 #2A 94 |  Teléfono: 3177568 |  Número de Folios : 0 |  Tipología: Novedades Aportes de Cesantias |  Radicado de Correspondencia Recibida: 02-2303-202204010462406 | </t>
  </si>
  <si>
    <t xml:space="preserve">Radicado: 28-2303-202204010021221 |  Número de Identificación: 19448909 |  Nombre o Razón Social: MORENO CORDOBA ROSBY |  País: COLOMBIA |  Departamento: CHOCO |  Ciudad: QUIBDO |  Dirección: CL 30  # 6-44 |  Teléfono: 0 |  E-mail: rosmoco@hotmail.com |  Número de Folios : 0 |  Tipología: Novedades Aportes de Cesantias |  Radicado de Correspondencia Recibida: 02-2303-202204010462866 | </t>
  </si>
  <si>
    <t xml:space="preserve">Radicado: 28-2303-202204010021225 |  Número de Identificación: 9000629179 |  Nombre o Razón Social: SERVICIOS POSTALES NACIONALES SA |  País: COLOMBIA |  Departamento: BOGOTA |  Ciudad: BOGOTA |  Dirección: DG 25 G # 95 A 55 |  Teléfono: N/A |  E-mail: j04lctoiba@cendoj.ramajudicial.gov.co |  Número de Folios : 1 |  Tipología: Novedades Aportes de Cesantias |  Radicado de Correspondencia Recibida: 02-2303-202204010462943 | </t>
  </si>
  <si>
    <t xml:space="preserve">Radicado: 28-2303-202203310020940 |  Número de Identificación: 147354022 |  Nombre o Razón Social: VIVAS BARRETO MARCO ANTONIO |  País: COLOMBIA |  Departamento: BOGOTA |  Ciudad: BOGOTA |  Dirección: CARRERA 81 F # 19 18 |  Teléfono: 3219924253 |  E-mail: VIVASMARCO11@GMAIL.COM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02-2303-202203310451879 | </t>
  </si>
  <si>
    <t xml:space="preserve">Radicado: 28-2303-202203310020943 |  Número de Identificación: 41666706 |  Nombre o Razón Social: GARZON DE HERRERA  MARIA |  País: COLOMBIA |  Departamento: BOGOTA |  Ciudad: BOGOTA |  Dirección: AV CL 100 #64-51 AP 1304 TORRE1 |  Teléfono: 7518524 |  E-mail: dominio@dominio.com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Respuesta procesamiento Cobis: Correo Electronico |  Radicado de Correspondencia Recibida: 02-2303-202203310452276 | </t>
  </si>
  <si>
    <t xml:space="preserve">Radicado: 28-2303-202203310020906 |  Número de Identificación: 1020836343 |  Nombre o Razón Social: MELO  SUAREZ FELIPE STEVEN |  País: COLOMBIA |  Departamento: BOGOTA |  Ciudad: BOGOTA |  Dirección: CR 140 B # 131 - 10 |  Teléfono: 3219934859 |  E-mail: pipemeli17@gmail.com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02-2303-202203310450313 | </t>
  </si>
  <si>
    <t xml:space="preserve">Radicado: 28-4803-202203290020497 |  Número de Identificación: 35464663 |  Nombre o Razón Social: ROJAS ROJAS CARMENZA |  País: COLOMBIA |  Departamento: NARIÑO |  Ciudad: PASTO |  Dirección: KR 40 16 21 BR SANTA ANA BR SA |  Teléfono: 0 |  E-mail: N/A |  Número de Folios : 3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Fisico |  Radicado de Correspondencia Recibida: 02-4803-202203290437525 | </t>
  </si>
  <si>
    <t xml:space="preserve">Radicado: 28-2303-202204010021237 |  Número de Identificación: 1130599015 |  Nombre o Razón Social: JOHN DAVID CHAGUENDO FAJARDO |  País: COLOMBIA |  Departamento: VALLE DEL CAUCA |  Ciudad: CALI |  Dirección: CL 119 #23-160 |  Teléfono: 4203123 |  E-mail: jhondabi@gmail.com |  Número de Folios : 0 |  Tipología: Novedades Aportes de Cesantias |  Radicado de Correspondencia Recibida: 02-2303-202204010463452 | </t>
  </si>
  <si>
    <t xml:space="preserve">Radicado: 28-2303-202204010021238 |  Número de Identificación: 8001001475 |  Nombre o Razón Social: ALCALDIA MUNICIPAL DE VILLARRICA TOLIMA |  País: COLOMBIA |  Departamento: TOLIMA |  Ciudad: VILLARRICA |  Dirección: CL 4 - 3 - 19 |  Teléfono: 2475070 |  Número de Folios : 0 |  Tipología: Novedades Aportes de Cesantias |  Radicado de Correspondencia Recibida: 02-2303-202204010463468 | </t>
  </si>
  <si>
    <t xml:space="preserve">Radicado: 28-4805-202203300020677 |  Número de Identificación: 94486077 |  Nombre o Razón Social: GUTIERREZ  CARLOS ALBERTO |  País: COLOMBIA |  Departamento: VALLE DEL CAUCA |  Ciudad: CALI |  Dirección: CL 54B 48B 40 |  Teléfono: 3045729866 |  E-mail: CARLOS04081976@GMAIL.COM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02-4805-202203300442697 | </t>
  </si>
  <si>
    <t xml:space="preserve">Radicado: 28-2303-202203310020944 |  Número de Identificación: 9005260859 |  Nombre o Razón Social: EQUIPOS Y SERVICIOS TREX DE COLOMBIA SAS |  País: COLOMBIA |  Departamento: BOGOTA |  Ciudad: BOGOTA |  Dirección: CL 10 #39-06 BOD 4 |  Teléfono: 3827956 |  E-mail: maria.arroyo@equipostrex.com |  Número de Folios : 1 |  Tipología: Cargue de Aportes Entidades Publicas Y Privadas y/o Modificacion de Aportes o Disponible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02-2303-202203310452492 | </t>
  </si>
  <si>
    <t xml:space="preserve">Radicado: 28-2303-202204010021040 |  Número de Identificación: 1090495678 |  Nombre o Razón Social: ORDONEZ VASQUEZ FARITH JOAN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02-2303-202204010460553 | </t>
  </si>
  <si>
    <t xml:space="preserve">Radicado: 28-4903-202203300020740 |  Número de Identificación: 1075221543 |  Nombre o Razón Social: CUELLAR ROJAS EDISSON JAVIER |  País: COLOMBIA |  Departamento: HUILA |  Ciudad: NEIVA |  Dirección: CL 18 # H SUR |  Teléfono: 3102283641 |  E-mail: EDISONJAMER@GMAIL.COM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02-4903-202203300444920 | </t>
  </si>
  <si>
    <t xml:space="preserve">Radicado: 28-2303-202203240019906 |  Número de Identificación: 8020042043 |  Nombre o Razón Social: MEDICINA DEPORTIVA Y REHABILITACION LTDA CEMEDER CEMEDER |  País: COLOMBIA |  Departamento: ATLANTICO |  Ciudad: BARRANQUILLA |  Dirección: CR 47 # 81 - 33 |  Teléfono: 3786699 |  E-mail: administracion@cemeder.com |  Número de Folios : 0 |  Tipología: Apoyo Empresas |  Tipo de solicitud: Validacion de reporte |  Motivo: RV: MEDICINA DEPORTIVA Y REHABILITACION LTDA CEMEDER C - 8020042043 - Solicitud de soporte |  Medio de recepción: Buzón Apoyo Empresas |  Requiere Modificación: No |  Tipo de Modificación: No Aplica |  Tipo de Empresa: Privada |  Tipo de Novedad: Correccion de Nombre sin Formato |  Estado del Proceso 1: Ok. Aprobado |  Usuario Responsable: Jhonier James Leon Guzman |  Resultado captura: Otras Solicitudes |  Respuesta procesamiento Cobis: Correo Electronico |  Estado del Proceso 5: Ok. Aprobado |  Causal de Devolución PNC: Correcto |  Requiere respuesta: Si |  Radicado de Correspondencia Recibida: 02-2303-202203240413758 | </t>
  </si>
  <si>
    <t xml:space="preserve">Radicado: 28-2303-202204010021228 |  Número de Identificación: 41763460 |  Nombre o Razón Social: PINEDA ARIZA MARTHA |  País: COLOMBIA |  Departamento: BOGOTA |  Ciudad: BOGOTA |  Dirección: CL 188 SUR # 86 - 120 |  Teléfono: 0 |  E-mail: @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Respuesta procesamiento Cobis: Correo Electronico |  Radicado de Correspondencia Recibida: 02-2303-202204010463091 | </t>
  </si>
  <si>
    <t xml:space="preserve">Radicado: 28-4604-202203290020402 |  Número de Identificación: 11205908 |  Nombre o Razón Social: PENA MALDONADO JUAN MAURICIO |  País: COLOMBIA |  Departamento: BOGOTA |  Ciudad: BOGOTA |  Dirección: DG 81 I #72 A 18 |  Teléfono: 5357740 |  E-mail: N/A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02-4604-202203290433927 | </t>
  </si>
  <si>
    <t xml:space="preserve">Radicado: 28-4603-202203290020467 |  Número de Identificación: 901331750 |  Nombre o Razón Social: MEDINA GOLDEN SAS |  País: COLOMBIA |  Departamento: BOGOTA |  Ciudad: BOGOTA |  Dirección: CR 10 # 18 - 61 PS 2 |  Teléfono: 3414576 |  E-mail: opticamedina@hotmail.com |  Número de Folios : 2 |  Tipología: Planilla Manual |  Requiere Modificación: No |  Tipo de Modificación: No Aplica |  Tipo de Empresa: Privada |  Tipo de Novedad: Monetaria |  Estado del Proceso 1: Ok. Aprobado |  Usuario Responsable: Breidy Julieth Quiroga Noguera |  Respuesta procesamiento Cobis: Correo Electronico |  Requiere respuesta: No |  Radicado de Correspondencia Recibida: 02-4603-202203290436217 | </t>
  </si>
  <si>
    <t xml:space="preserve">Radicado: 28-2303-202204010021056 |  Número de Identificación: 900976844 |  Nombre o Razón Social: MATIMBA CLUB  SPA |  País: COLOMBIA |  Departamento: BOLIVAR |  Ciudad: CARTAGENA |  Dirección: CORREGIMIENTO BARU CL 7 CRR 5 # 513  |  Teléfono: 3218063861 |  E-mail: CONTABILIDAD@MATIMBACLUB.COM |  Número de Folios : 0 |  Tipología: Apoyo Empresas |  Tipo de solicitud: Validacion de reporte |  Motivo: Aclaración Vigencia 2020 |  Medio de recepción: Buzón Apoyo Empresas |  Requiere Modificación: No |  Tipo de Modificación: No Aplica |  Tipo de Empresa: Privada |  Tipo de Novedad: Monetaria |  Estado del Proceso 1: Ok. Aprobado |  Usuario Responsable: Ledher Julian Martin Sierra Cristancho |  Resultado captura: Otras Solicitudes |  Respuesta procesamiento Cobis: Correo Electronico |  Requiere respuesta: No |  Radicado de Correspondencia Recibida: 02-2303-202204010460875 | </t>
  </si>
  <si>
    <t xml:space="preserve">Radicado: 28-2303-202203310020959 |  Número de Identificación: 1116270472 |  Nombre o Razón Social: JOHAN STEVEN VARGAS |  País: COLOMBIA |  Departamento: VALLE DEL CAUCA |  Ciudad: RESTREPO |  Dirección: CR 34A # 41-47 |  Teléfono: 6000000 |  E-mail: JOHAN-ROJAS@HOTMAIL.ES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02-2303-202203310453637 | </t>
  </si>
  <si>
    <t xml:space="preserve">Radicado: 28-2303-202204010021027 |  Número de Identificación: 40991442 |  Nombre o Razón Social: LUZDARY  MCLAUGHLIN |  País: COLOMBIA |  Departamento: ISLAS |  Ciudad: SAN ANDRES |  Dirección: BARRIO LOMA |  Teléfono: 3156003642 |  E-mail: LUZBASTA@HOTMAIL.COM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Respuesta procesamiento Cobis: Correo Electronico |  Radicado de Correspondencia Recibida: 02-2303-202204010460066 | </t>
  </si>
  <si>
    <t xml:space="preserve">Radicado: 28-4701-202204010021010 |  Número de Identificación: 41783344 |  Nombre o Razón Social: FARFAN MONTANO CONSTANZA |  País: COLOMBIA |  Departamento: BOGOTA |  Ciudad: BOGOTA |  Dirección: CL 59A SUR # 22-18 C2 |  Teléfono: 3245923541 |  E-mail: JUANFARIAS88@GMAIL.COM |  Número de Folios : 3 |  Tipología: Novedades Aportes de Cesantias |  Radicado de Correspondencia Recibida: 02-4701-202204010458661 | </t>
  </si>
  <si>
    <t xml:space="preserve">Radicado: 28-2303-202203310020987 |  Número de Identificación: 7251825 |  Nombre o Razón Social: MUNOZ GUZMAN HENRY |  País: COLOMBIA |  Departamento: CALDAS |  Ciudad: LA DORADA |  Dirección: CL 17 #11 58 |  Teléfono: 3114697805 |  E-mail: N/A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Fisico |  Radicado de Correspondencia Recibida: 02-2303-202203310456011 | </t>
  </si>
  <si>
    <t xml:space="preserve">Radicado: 28-2303-202204010021255 |  Número de Identificación: 1010184873  |  Nombre o Razón Social: HOYOS SOLER NATALYA |  País: COLOMBIA |  Departamento: TOLIMA |  Ciudad: IBAGUE |  Dirección: CRA 14B SUR 95 120 |  Teléfono: 3133475111 |  Número de Folios : 0 |  Tipología: Novedades Aportes de Cesantias |  Radicado de Correspondencia Recibida: 02-2303-202204010464196 | </t>
  </si>
  <si>
    <t xml:space="preserve">Radicado: 28-4803-202204010021011 |  Número de Identificación: 36992363 |  Nombre o Razón Social: FLOR ALBA RUANO |  País: COLOMBIA |  Departamento: NARIÑO |  Ciudad: PASTO |  Dirección: MZ A CASA 5 |  Teléfono: 3168760518 |  E-mail: correo@correo.com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02-4803-202204010458781 | </t>
  </si>
  <si>
    <t xml:space="preserve">Radicado: 28-2303-202204010021261 |  Número de Identificación: 35401913 |  Nombre o Razón Social: LUZ  ROMERO TORRES |  País: COLOMBIA |  Departamento: CUNDINAMARCA |  Ciudad: ZIPAQUIRA |  Dirección: CR 5A #22-81 |  Teléfono: 0 |  Número de Folios : 0 |  Tipología: Novedades Aportes de Cesantias |  Radicado de Correspondencia Recibida: 02-2303-202204010464297 | </t>
  </si>
  <si>
    <t xml:space="preserve">Radicado: 28-2303-202204010021263 |  Número de Identificación: 8305125934 |  Nombre o Razón Social: INDUROB LIMITADA |  País: COLOMBIA |  Departamento: ANTIOQUIA |  Ciudad: MEDELLIN |  Dirección: CR 45 #32 79 |  Teléfono: 4445577 |  E-mail: indurobadmon@une.net.co |  Número de Folios : 0 |  Tipología: Novedades Aportes de Cesantias |  Radicado de Correspondencia Recibida: 02-2303-202204010464325 | </t>
  </si>
  <si>
    <t xml:space="preserve">Radicado: 28-2303-202204010021265 |  Número de Identificación: 118203 |  Nombre o Razón Social: VALERO VALERO JORGE HERMOGENES |  País: COLOMBIA |  Departamento: BOGOTA |  Ciudad: BOGOTA |  Dirección: KR 57 125 A 46 IN 3 NIZA CORDOBA |  Teléfono: 2535443 |  Número de Folios : 0 |  Tipología: Novedades Aportes de Cesantias |  Radicado de Correspondencia Recibida: 02-2303-202204010464350 | </t>
  </si>
  <si>
    <t xml:space="preserve">Radicado: 28-4704-202204010021023 |  Número de Identificación: 29326890 |  Nombre o Razón Social: ROJAS DE RODRIGUEZ MARIA SUSANA |  País: COLOMBIA |  Departamento: VALLE DEL CAUCA |  Ciudad: CAICEDONIA |  Dirección: CL 12 #7-47 CIUDADELA MUNICIPAL |  Teléfono: 3194644418 |  Número de Folios : 4 |  Tipología: Novedades Aportes de Cesantias |  Radicado de Correspondencia Recibida: 02-4704-202204010459923 | </t>
  </si>
  <si>
    <t xml:space="preserve">Radicado: 28-2303-202204010021273 |  Número de Identificación: 7448929 |  Nombre o Razón Social: GOMEZ  ALEJANDRO |  País: COLOMBIA |  Departamento: ISLAS |  Ciudad: SAN ANDRES |  Dirección: BR EL BIGH M 17 CA 6 |  Teléfono: 5125621 |  E-mail: ALGOGO@HOTMAIL.COM |  Número de Folios : 0 |  Tipología: Novedades Aportes de Cesantias |  Radicado de Correspondencia Recibida: 02-2303-202204010464461 | </t>
  </si>
  <si>
    <t xml:space="preserve">Radicado: 28-4708-202204010021232 |  Número de Identificación: 63326551 |  Nombre o Razón Social: RESTREPO VILLAMIZAR CLAUDIA  ELEN |  País: COLOMBIA |  Departamento: META |  Ciudad: VILLAVICENCIO |  Dirección: CR 47 #15 45 CASA 22 QUINTAS DE SAN SOUCCI |  Teléfono: 6654213 |  E-mail: claresvi@hotmail.com |  Número de Folios : 2 |  Tipología: Novedades Aportes de Cesantias |  Radicado de Correspondencia Recibida: 02-4708-202204010463274 | </t>
  </si>
  <si>
    <t xml:space="preserve">Radicado: 28-2303-202204010021296 |  Número de Identificación: 3735152 |  Nombre o Razón Social: CAMARGO ARRIETA EDGARDO |  País: COLOMBIA |  Departamento: ATLANTICO |  Ciudad: MANATI |  Dirección: CRA 4 7C 48 |  Teléfono: 3004507392 |  Número de Folios : 0 |  Tipología: Novedades Aportes de Cesantias |  Radicado de Correspondencia Recibida: 02-2303-202204010464562 | </t>
  </si>
  <si>
    <t xml:space="preserve">Radicado: 28-2303-202204010021299 |  Número de Identificación: 763685 |  Nombre o Razón Social: VIVAS BARRETO MARCO ANTONIO |  País: COLOMBIA |  Departamento: BOGOTA |  Ciudad: BOGOTA |  Dirección: 0 |  Teléfono: 0 |  Número de Folios : 0 |  Tipología: Novedades Aportes de Cesantias |  Radicado de Correspondencia Recibida: 02-2303-202204010464572 | </t>
  </si>
  <si>
    <t xml:space="preserve">Radicado: 28-2303-202204010021302 |  Número de Identificación: 1106398173 |  Nombre o Razón Social: CASTAï¿½EDA BOCANEGRA INGRID DAYANA |  País: COLOMBIA |  Departamento: BOGOTA |  Ciudad: BOGOTA |  Dirección: CL 33 # 1 - 50  CA 144 |  Teléfono: 0 |  E-mail: DAYIS-0405@HOTMAIL.COM |  Número de Folios : 0 |  Tipología: Novedades Aportes de Cesantias |  Radicado de Correspondencia Recibida: 02-2303-202204010464577 | </t>
  </si>
  <si>
    <t xml:space="preserve">Radicado: 28-2303-202204010021306 |  Número de Identificación: 1152691500 |  Nombre o Razón Social: USUGA QUIROZ MARIA FERNANDA |  País: COLOMBIA |  Departamento: ANTIOQUIA |  Ciudad: MEDELLIN |  Dirección: CL 106B # 81-29 |  Teléfono: 3045630714 |  E-mail: MAFEGERONTOLOGA@GMAIL.COM |  Número de Folios : 0 |  Tipología: Novedades Aportes de Cesantias |  Radicado de Correspondencia Recibida: 02-2303-202204010464592 | </t>
  </si>
  <si>
    <t xml:space="preserve">Radicado: 28-2303-202204020021312 |  Número de Identificación: 9001774022 |  Nombre o Razón Social: ACODINSA SAS |  País: COLOMBIA |  Departamento: BOGOTA |  Ciudad: BOGOTA |  Dirección: 1 |  Teléfono: 1 |  E-mail: NOTIENE@HOTMAIL.COM |  Número de Folios : 1 |  Tipología: Novedades Aportes de Cesantias |  Radicado de Correspondencia Recibida: 02-2303-202204020465505 | </t>
  </si>
  <si>
    <t xml:space="preserve">Radicado: 28-2303-202204020021324 |  Número de Identificación: 8002501191 |  Nombre o Razón Social: SALUCOOP EPS OC EN LIQUIDACION  |  País: COLOMBIA |  Departamento: BOGOTA |  Ciudad: BOGOTA |  Dirección: CALLE 73  # 11-66 |  Teléfono: 3171820 |  E-mail: NOTIENE@HOTMAIL.COM |  Número de Folios : 0 |  Tipología: Novedades Aportes de Cesantias |  Radicado de Correspondencia Recibida: 02-2303-202204020465723 | </t>
  </si>
  <si>
    <t xml:space="preserve">Radicado: 28-2303-202204020021330 |  Número de Identificación: 8301442726 |  Nombre o Razón Social: CODISBELL IMAGEN LTDA |  País: COLOMBIA |  Departamento: BOGOTA |  Ciudad: BOGOTA |  Dirección: CL 152A # 7A 08 OF 201 |  Teléfono: 6333467 |  Número de Folios : 0 |  Tipología: Novedades Aportes de Cesantias |  Radicado de Correspondencia Recibida: 02-2303-202204020466254 | </t>
  </si>
  <si>
    <t xml:space="preserve">Radicado: 28-4901-202204020021320 |  Número de Identificación: 27125416 |  Nombre o Razón Social: ORDOÑEZ PAZ AIDA TULIA |  País: COLOMBIA |  Departamento: CAUCA |  Ciudad: POPAYAN |  Dirección: CR 19  BIS #64-14 NORTE |  Teléfono: 3127558040 |  E-mail: ATULI77@HOTMAIL.COM |  Número de Folios : 2 |  Tipología: Novedades Aportes de Cesantias |  Radicado de Correspondencia Recibida: 02-4901-202204020465624 | </t>
  </si>
  <si>
    <t xml:space="preserve">Radicado: 28-2303-202204020021349 |  Número de Identificación: 25274345 |  Nombre o Razón Social: MUÑOZ OCAMPO CLAUDIA MARITZA |  País: COLOMBIA |  Departamento: CAUCA |  Ciudad: POPAYAN |  Dirección: CL 73 AN # 12 AN - 27 CL 73 AN |  Teléfono: 3136216303 |  E-mail: CLAMARITZ@HOTMAIL.COM |  Número de Folios : 0 |  Tipología: Novedades Aportes de Cesantias |  Radicado de Correspondencia Recibida: 02-2303-202204020467267 | </t>
  </si>
  <si>
    <t xml:space="preserve">Radicado: 28-2303-202204020021353 |  Número de Identificación: 1095933106 |  Nombre o Razón Social: RUEDA DURANTE FRANCY DANIELA |  País: COLOMBIA |  Departamento: BOGOTA |  Ciudad: BOGOTA |  Dirección: CL 17 B # 7 - 54 |  Teléfono: 0 |  E-mail: GDANIELA094@GMAIL.COM |  Número de Folios : 0 |  Tipología: Novedades Aportes de Cesantias |  Radicado de Correspondencia Recibida: 02-2303-202204020467357 | </t>
  </si>
  <si>
    <t xml:space="preserve">Radicado: 28-2303-202204020021354 |  Número de Identificación: 37084303 |  Nombre o Razón Social: LOPEZ  ALEXANDRA MILENA |  País: COLOMBIA |  Departamento: NARIÑO |  Ciudad: PASTO |  Dirección: CS 29 A MAPACHINO |  Teléfono: 3177438569 |  E-mail: ALEXALOP2014@GMAIL.COM |  Número de Folios : 0 |  Tipología: Novedades Aportes de Cesantias |  Radicado de Correspondencia Recibida: 02-2303-202204020467374 | </t>
  </si>
  <si>
    <t xml:space="preserve">Radicado: 28-2303-202204020021356 |  Número de Identificación: 70142521 |  Nombre o Razón Social: OSORIO MESA WILINTON ARIEL |  País: COLOMBIA |  Departamento: ANTIOQUIA |  Ciudad: MEDELLIN |  Dirección: CL 70 F # 95 - 168 INT 9602 TR 25 |  Teléfono: 3217812537 |  E-mail: WOSORIO@NEUST.COM.CO |  Número de Folios : 0 |  Tipología: Novedades Aportes de Cesantias |  Radicado de Correspondencia Recibida: 02-2303-202204020467413 | </t>
  </si>
  <si>
    <t xml:space="preserve">Radicado: 28-4603-202204020021309 |  Número de Identificación: 20679039 |  Nombre o Razón Social: CORTES LATORRES MARTHA |  País: COLOMBIA |  Departamento: BOGOTA |  Ciudad: BOGOTA |  Dirección: CR 9 este  96-45 |  Teléfono: 3002526922 |  E-mail: malejac578@gmail.com |  Número de Folios : 2 |  Tipología: Novedades Aportes de Cesantias |  Radicado de Correspondencia Recibida: 02-4603-202204020465107 | </t>
  </si>
  <si>
    <t xml:space="preserve">Radicado: 28-4603-202204020021315 |  Número de Identificación: 79796303 |  Nombre o Razón Social: GRANADOS VANEGAS DELWIN ROGER |  País: COLOMBIA |  Departamento: BOGOTA |  Ciudad: BOGOTA |  Dirección: CL 100 7 33 PI 6 |  Teléfono: 6932120 |  E-mail: THIAGO.VNQS@GMAIL.COM |  Número de Folios : 10 |  Tipología: Novedades Aportes de Cesantias |  Radicado de Correspondencia Recibida: 02-4603-202204020465566 | </t>
  </si>
  <si>
    <t xml:space="preserve">Radicado: 28-4603-202204020021316 |  Número de Identificación: 1020720617 |  Nombre o Razón Social: HUILA MENDEZ LINA MARIA |  País: COLOMBIA |  Departamento: BOGOTA |  Ciudad: BOGOTA |  Dirección: CR 25  # 22-40 |  Teléfono: 3213497561 |  E-mail: LINAMARPUENTES1986@HOTMAIL.COM |  Número de Folios : 2 |  Tipología: Novedades Aportes de Cesantias |  Radicado de Correspondencia Recibida: 02-4603-202204020465575 | </t>
  </si>
  <si>
    <t xml:space="preserve">Radicado: 28-4603-202204020021318 |  Número de Identificación: 52058659 |  Nombre o Razón Social: LUZ DARY DUARTE PARDO |  País: COLOMBIA |  Departamento: BOGOTA |  Ciudad: BOGOTA |  Dirección: CR 3 #32B20 S CASA |  Teléfono: 3640870 |  E-mail: luzdaruduarte123@hotmail.com |  Número de Folios : 2 |  Tipología: Novedades Aportes de Cesantias |  Radicado de Correspondencia Recibida: 02-4603-202204020465590 | </t>
  </si>
  <si>
    <t xml:space="preserve">Radicado: 28-4603-202204020021319 |  Número de Identificación: 79436267 |  Nombre o Razón Social: SANCHEZ VALDEZ CARLOS ALBERTO |  País: COLOMBIA |  Departamento: BOGOTA |  Ciudad: BOGOTA |  Dirección: CLL 90 95 F 5 |  Teléfono: 4424890 |  E-mail: CARLOS_TOFI@HOTMAIL.COM |  Número de Folios : 2 |  Tipología: Novedades Aportes de Cesantias |  Radicado de Correspondencia Recibida: 02-4603-202204020465612 | </t>
  </si>
  <si>
    <t xml:space="preserve">Radicado: 28-4603-202204020021323 |  Número de Identificación: 1005132025 |  Nombre o Razón Social: DIAZ TOLEDO NELSONENRIQUE |  País: COLOMBIA |  Departamento: BOGOTA |  Ciudad: BOGOTA |  Dirección: CLL 61 BIS SUR 18 T  22 |  Teléfono: 3123162151 |  E-mail: DIAZTOLEDO228@GMAIL.COM |  Número de Folios : 2 |  Tipología: Novedades Aportes de Cesantias |  Radicado de Correspondencia Recibida: 02-4603-202204020465665 | </t>
  </si>
  <si>
    <t xml:space="preserve">Radicado: 28-4701-202204020021333 |  Número de Identificación: 1152691500 |  Nombre o Razón Social: USUGA QUIROZ MARIA FERNANDA |  País: COLOMBIA |  Departamento: ANTIOQUIA |  Ciudad: MEDELLIN |  Dirección: CL 106B # 81-29 |  Teléfono: 3045630714 |  E-mail: MAFEGERONTOLOGA@GMAIL.COM |  Número de Folios : 2 |  Tipología: Novedades Aportes de Cesantias |  Radicado de Correspondencia Recibida: 02-4701-202204020466776 | </t>
  </si>
  <si>
    <t xml:space="preserve">Radicado: 28-2303-202204020021363 |  Número de Identificación: 1061600735 |  Nombre o Razón Social: CARLOS GEOVANNY PERAFAN IBACHI |  País: COLOMBIA |  Departamento: BOGOTA |  Ciudad: BOGOTA |  Dirección: CR 37 # 7 - 49 LOS EJIDOS |  Teléfono: 3184739596 |  E-mail: PERAFANCARLOS15@GMAIL.COM |  Número de Folios : 0 |  Tipología: Novedades Aportes de Cesantias |  Radicado de Correspondencia Recibida: 02-2303-202204020467870 | </t>
  </si>
  <si>
    <t xml:space="preserve">Radicado: 28-4703-202204020021341 |  Número de Identificación: 1053840870 |  Nombre o Razón Social: MARIA ALEJANDRA FRANCO |  País: COLOMBIA |  Departamento: CALDAS |  Ciudad: MANIZALES |  Dirección: KM 12 VIA AL MAGDALENA FRUGGY |  Teléfono: 3807997 |  Número de Folios : 3 |  Tipología: Novedades Aportes de Cesantias |  Radicado de Correspondencia Recibida: 02-4703-202204020467001 | </t>
  </si>
  <si>
    <t xml:space="preserve">Radicado: 28-2303-202203290020415 |  Número de Identificación: 8907000408 |  Nombre o Razón Social: FERRETERIA GODOY LTDA |  País: COLOMBIA |  Departamento: TOLIMA |  Ciudad: IBAGUE |  Dirección: CL 18 A N # 1 - 45 OF 55 |  Teléfono: 2610555 |  E-mail: adm1ferregodoy@gmail.com |  Número de Folios : 0 |  Tipología: Novedades Aportes de Cesantias |  Requiere Modificación: No |  Tipo de Modificación: No Aplica |  Tipo de Empresa: Privada |  Tipo de Novedad: Monetaria |  Estado del Proceso 1: Tramitado con Anterioridad |  Usuario Responsable: Breidy Julieth Quiroga Noguera |  Respuesta procesamiento Cobis: Correo Electronico |  Radicado de Correspondencia Recibida: 02-2303-202203290434532 | </t>
  </si>
  <si>
    <t xml:space="preserve">Radicado: 28-2303-202203290020397 |  Número de Identificación: 30350782 |  Nombre o Razón Social: FLORIDO QUINONES YERALDINE |  País: COLOMBIA |  Departamento: CALDAS |  Ciudad: LA DORADA |  Dirección: CL 16 # 9 - 27 |  Teléfono: 3132691846 |  E-mail: BELYI-L-L@LIVE.COM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02-2303-202203290433727 | </t>
  </si>
  <si>
    <t xml:space="preserve">Radicado: 28-4706-202203310020893 |  Número de Identificación: 1095938486 |  Nombre o Razón Social: BAUTISTA LOAIZA JHONNATHAN |  País: COLOMBIA |  Departamento: SANTANDER |  Ciudad: BUCARAMANGA |  Dirección: CL 22 # 17-140 |  Teléfono: 3175236170 |  E-mail: JHONNATANBAUTISTA800@GMAIL.COM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02-4706-202203310449881 | </t>
  </si>
  <si>
    <t xml:space="preserve">Radicado: 28-4604-202203310020979 |  Número de Identificación: 20472288 |  Nombre o Razón Social: ANAYA CHAVES MARIA  OLIVA |  País: COLOMBIA |  Departamento: BOGOTA |  Ciudad: BOGOTA |  Dirección: CR 1C #29-30 CASA |  Teléfono: 8615217 |  E-mail: N/A |  Número de Folios : 6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Respuesta procesamiento Cobis: Correo Electronico |  Radicado de Correspondencia Recibida: 02-4604-202203310455431 | </t>
  </si>
  <si>
    <t xml:space="preserve">Radicado: 28-4902-202203290020393 |  Número de Identificación: 9008350521 |  Nombre o Razón Social: URBANA INGENERIA S.A.S |  País: COLOMBIA |  Departamento: CAQUETA |  Ciudad: FLORENCIA |  Dirección: CR 15 5 B- 13 # CENTRO |  Teléfono: 4343807 |  E-mail: REINOSOINGENIERIA@GMAIL.COM |  Número de Folios : 4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02-4902-202203290433466 | </t>
  </si>
  <si>
    <t xml:space="preserve">Radicado: 28-4603-202203290020421 |  Número de Identificación: 53121970 |  Nombre o Razón Social: ECHEVERRY GUDINO LUZ HELENA |  País: COLOMBIA |  Departamento: BOGOTA |  Ciudad: BOGOTA |  Dirección: KR 44 A 19 C 87 APTO 301 BL A |  Teléfono: 7292528 |  E-mail: LUZHELENAECHEVERRY@HOTMAIL.COM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02-4603-202203290434680 | </t>
  </si>
  <si>
    <t xml:space="preserve">Radicado: 28-4603-202203290020426 |  Número de Identificación: 79368726 |  Nombre o Razón Social: FRANCISCO  MEDINA CARDONA |  País: COLOMBIA |  Departamento: BOGOTA |  Ciudad: BOGOTA |  Dirección: CRA 73 56 A 45 |  Teléfono: 3138578292 |  E-mail: @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02-4603-202203290434748 | </t>
  </si>
  <si>
    <t xml:space="preserve">Radicado: 28-4603-202203290020511 |  Número de Identificación: 1003776879 |  Nombre o Razón Social: GARZON ARIAS NATALIA |  País: COLOMBIA |  Departamento: BOGOTA |  Ciudad: BOGOTA |  Dirección: CRA 7 74-21 |  Teléfono: 3219055999 |  E-mail: NATISYDUVIS18@GMAIL.COM |  Número de Folios : 7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02-4603-202203290438142 | </t>
  </si>
  <si>
    <t xml:space="preserve">Radicado: 28-2303-202203300020801 |  Número de Identificación: 1075668160 |  Nombre o Razón Social: RIANO QUINTERO CAMILO ANDRES |  País: COLOMBIA |  Departamento: CUNDINAMARCA |  Ciudad: ZIPAQUIRA |  Dirección: CL 4 # 17 100  |  Teléfono: 0 |  E-mail: @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02-2303-202203300446975 | </t>
  </si>
  <si>
    <t xml:space="preserve">Radicado: 28-4703-202203250019930 |  Número de Identificación: 24333442 |  Nombre o Razón Social: MONTOYA AGUDELO MINI JOHANA |  País: COLOMBIA |  Departamento: CALDAS |  Ciudad: MANIZALES |  Dirección: CR 24 #15-37 |  Teléfono: 3146347525 |  E-mail: johanamontoyaagudelo54@gmail.com |  Número de Folios : 2 |  Tipología: Novedades Aportes de Cesantias |  Requiere Modificación: No |  Tipo de Modificación: No Aplica |  Tipo de Empresa: Privada |  Tipo de Novedad: No Monetaria |  Estado del Proceso 1: Dev. Devuelto |  Causal de Devolución PNC de Cara al Cliente: Documentación Incompleta o Inconsistente |  Usuario Responsable: Oscar Ramiro Reyes Prada |  Respuesta procesamiento Cobis: Correo Electronico |  Radicado de Correspondencia Recibida: 02-4703-202203250415958 | </t>
  </si>
  <si>
    <t xml:space="preserve">Radicado: 28-4603-202203290020427 |  Número de Identificación: 80135679 |  Nombre o Razón Social: RUBIANO  BRAYAN |  País: COLOMBIA |  Departamento: BOGOTA |  Ciudad: BOGOTA |  Dirección: CLL 77 B N 129-70 |  Teléfono: 3004026915 |  E-mail: RUBIANO.BRAYAN@GMAIL.COM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02-4603-202203290434767 | </t>
  </si>
  <si>
    <t xml:space="preserve">Radicado: 28-2303-202203300020823 |  Número de Identificación: 1123635785 |  Nombre o Razón Social: MARTINEZ DIAZ NASMILE MARYURY |  País: COLOMBIA |  Departamento: ISLAS |  Ciudad: SAN ANDRES |  Dirección: SECTOR LOMA BARKERS HILL |  Teléfono: 3160441139 |  E-mail: nasmilemartinezdiaz1@gmail.com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02-2303-202203300447563 | </t>
  </si>
  <si>
    <t xml:space="preserve">Radicado: 28-4703-202203310020973 |  Número de Identificación: 10287426 |  Nombre o Razón Social: CASTAÑEDA LUIS CARLOS |  País: COLOMBIA |  Departamento: CALDAS |  Ciudad: MANIZALES |  Dirección: CR 31 #15A - 07 |  Teléfono: 8806009 |  E-mail: PELIGRO1.13@HOTMAIL.COM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02-4703-202203310454508 | </t>
  </si>
  <si>
    <t xml:space="preserve">Radicado: 28-2303-202203300020838 |  Número de Identificación: 1037390203 |  Nombre o Razón Social: BUILES MORENO DEISY AIEDE |  País: COLOMBIA |  Departamento: BOGOTA |  Ciudad: BOGOTA |  Dirección: CR 98 # 85 23 |  Teléfono: 2332978 |  E-mail: DEISY.BUILES.M@GMAIL.COM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02-2303-202203300448351 | </t>
  </si>
  <si>
    <t xml:space="preserve">Radicado: 28-2303-202203290020439 |  Número de Identificación: 1054559718 |  Nombre o Razón Social: OSPINA SALDANA MIGUEL ANGEL |  País: COLOMBIA |  Departamento: CALDAS |  Ciudad: LA DORADA |  Dirección: CR 5 A # 39 - 171 |  Teléfono: 3137849408 |  E-mail: MIGUEL.OSPINA90@GMAIL.COM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02-2303-202203290435067 | </t>
  </si>
  <si>
    <t xml:space="preserve">Radicado: 28-2303-202203300020610 |  Número de Identificación: 901052647 |  Nombre o Razón Social: ACRIMAGEN SOLUCIONES ARQUITECTONICAS Y PUBLICITARI |  País: COLOMBIA |  Departamento: BOGOTA |  Ciudad: BOGOTA |  Dirección: 0 |  Teléfono: 0 |  E-mail: informacionacrimagen@gmail.com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02-2303-202203300440995 | </t>
  </si>
  <si>
    <t xml:space="preserve">Radicado: 28-2303-202203250020026 |  Número de Identificación: 9009278871 |  Nombre o Razón Social: NEFROCHOCO S.A.S |  País: COLOMBIA |  Departamento: CHOCO |  Ciudad: QUIBDO |  Dirección: CR 8 # 29 - 30 |  Teléfono: 6716440 |  E-mail: n/a |  Número de Folios : 0 |  Tipología: Planilla Manual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Requiere respuesta: Si |  Radicado de Correspondencia Recibida: 02-2303-202203250420385 | </t>
  </si>
  <si>
    <t xml:space="preserve">Radicado: 28-2303-202203300020777 |  Número de Identificación: 1144074966  |  Nombre o Razón Social: GAVIRIA MORA YAJAIRA |  País: COLOMBIA |  Departamento: PUTUMAYO |  Ciudad: MOCOA |  Dirección: B/ PEÑON |  Teléfono: 3204962826 |  E-mail: YAJAIRAGAVIRIAMORA@HOTMAIL.COM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02-2303-202203300445939 | </t>
  </si>
  <si>
    <t xml:space="preserve">Radicado: 28-4804-202203250019995 |  Número de Identificación: 8903990113 |  Nombre o Razón Social: ALCALDIA MUNICIPAL DE SANTIAGO DE CALI |  País: COLOMBIA |  Departamento: VALLE DEL CAUCA |  Ciudad: CALI |  Dirección: CAM TORRE ALCALDIA PSO 15 |  Teléfono: 6617249 |  E-mail: harold.ceron@cali.gov.co |  Número de Folios : 5 |  Tipología: Novedades Aportes de Cesantias |  Requiere Modificación: No |  Tipo de Modificación: No Aplica |  Tipo de Empresa: Publica |  Tipo de Novedad: No Monetaria |  Estado del Proceso 1: Tramitado con Anterioridad |  Usuario Responsable: Oscar Ramiro Reyes Prada |  Estado del Proceso 2: Ok. Aprobado |  Respuesta procesamiento Cobis: Correo Electronico |  Radicado de Correspondencia Recibida: 02-4804-202203250419013 | </t>
  </si>
  <si>
    <t xml:space="preserve">Radicado: 28-2303-202203290020581 |  Número de Identificación: 986660542 |  Nombre o Razón Social: TALLER ARCO Y O CAMILO HERNANDO HOYOS MARTINEZ |  País: COLOMBIA |  Departamento: CHOCO |  Ciudad: QUIBDO |  Dirección: CR 1 # 32 - 12 |  Teléfono: 0 |  E-mail: janyimore@hotmail.com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02-2303-202203290440767 | </t>
  </si>
  <si>
    <t xml:space="preserve">Radicado: 28-2303-202204010021170 |  Número de Identificación: 10167787 |  Nombre o Razón Social: PUERTA RINCON OMAR DE |  País: COLOMBIA |  Departamento: BOGOTA |  Ciudad: BOGOTA |  Dirección: CL 23 72 B 42 APTO 503 TO 4 3143300917 DISTRITO CAPITA 31433 |  Teléfono: 8008858 |  E-mail: @ |  Número de Folios : 0 |  Tipología: Novedades Aportes de Cesantias |  Requiere Modificación: No |  Tipo de Modificación: No Aplica |  Tipo de Empresa: Publica |  Tipo de Novedad: No Monetaria |  Estado del Proceso 1: Dev. Devuelto |  Causal de Devolución PNC de Cara al Cliente: Documentación Incompleta o Inconsistente |  Usuario Responsable: Oscar Ramiro Reyes Prada |  Respuesta procesamiento Cobis: Correo Electronico |  Radicado de Correspondencia Recibida: 02-2303-202204010462031 | </t>
  </si>
  <si>
    <t xml:space="preserve">Radicado: 28-2303-202203290020530 |  Número de Identificación: 9005498774 |  Nombre o Razón Social: LAZOS DE AMOR HOGARES COMUNITARIOS DEL ICBF |  País: COLOMBIA |  Departamento: BOGOTA |  Ciudad: BOGOTA |  Dirección: CR 76A #59B-03 SU |  Teléfono: 4684594 |  E-mail: N/A |  Número de Folios : 0 |  Tipología: Novedades Aportes de Cesantias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Radicado de Correspondencia Recibida: 02-2303-202203290438728 | </t>
  </si>
  <si>
    <t xml:space="preserve">Radicado: 28-4701-202203290020438 |  Número de Identificación: 15514970 |  Nombre o Razón Social: JUAN FERNANDO ECHEVERRY ZAPATA |  País: COLOMBIA |  Departamento: ANTIOQUIA |  Ciudad: COPACABANA |  Dirección: CL 38A # 50A -21 |  Teléfono: 3214307769 |  E-mail: JFERNANDO2327@HOTMAIL.COM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02-4701-202203290435048 | </t>
  </si>
  <si>
    <t xml:space="preserve">Radicado: 28-4601-202203230019503 |  Número de Identificación: 4118891 |  Nombre o Razón Social: PRIETO AVELLO ADAN |  País: COLOMBIA |  Departamento: BOGOTA |  Ciudad: BOGOTA |  Dirección: CL 12 B 9 33 OF 201 |  Teléfono: 3022585042 |  E-mail: PRIMARSAS2015@HOTMAIL.COM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02-4601-202203230402594 | </t>
  </si>
  <si>
    <t xml:space="preserve">Radicado: 28-2303-202203310020918 |  Número de Identificación: 52429995 |  Nombre o Razón Social: ESPARZA CALDERON DIANA P |  País: COLOMBIA |  Departamento: BOGOTA |  Ciudad: BOGOTA |  Dirección: CR 45 # 56 - 44 APTO 404 |  Teléfono: 3012477075 |  E-mail: DIANAESPARZA@HOTMAIL.COM |  Número de Folios : 0 |  Tipología: Novedades Aportes de Cesantias |  Requiere Modificación: No |  Tipo de Modificación: No Aplica |  Tipo de Empresa: Privada |  Tipo de Novedad: Correccion de Nombre sin Formato |  Estado del Proceso 1: Dev. Devuelto |  Causal de Devolución PNC de Cara al Cliente: Documentación Incompleta o Inconsistente |  Usuario Responsable: Breidy Julieth Quiroga Noguera |  Respuesta procesamiento Cobis: Correo Electronico |  Radicado de Correspondencia Recibida: 02-2303-202203310450696 | </t>
  </si>
  <si>
    <t xml:space="preserve">Radicado: 28-2303-202203310020869 |  Número de Identificación: 1085278752 |  Nombre o Razón Social: MELO LOPEZ CRISTHIAN CAMILO |  País: COLOMBIA |  Departamento: BOGOTA |  Ciudad: BOGOTA |  Dirección: DG 15 # 11 E - 14 EL ROSARIO |  Teléfono: 0 |  E-mail: camilomelo911@gmail.com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02-2303-202203310449247 | </t>
  </si>
  <si>
    <t xml:space="preserve">Radicado: 28-4905-202203290020555 |  Número de Identificación: 20618935 |  Nombre o Razón Social: ESPINOSA FLOR MARIA |  País: COLOMBIA |  Departamento: CUNDINAMARCA |  Ciudad: AGUA DE DIOS |  Dirección: CR 10 # 10A - 69 |  Teléfono: 3202756280 |  E-mail: N/A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Fisico |  Radicado de Correspondencia Recibida: 02-4905-202203290439788 | </t>
  </si>
  <si>
    <t xml:space="preserve">Radicado: 28-2303-202203310020919 |  Número de Identificación: 52070512 |  Nombre o Razón Social: BERNAL CAMARGO DELIA DEL |  País: COLOMBIA |  Departamento: BOGOTA |  Ciudad: BOGOTA |  Dirección: CR 76 B # 90 A - 36 BARRIO LA SERENA |  Teléfono: 3102746663 |  E-mail: DELIA.BERNAL@COMPUDIEZ.COM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02-2303-202203310450725 | </t>
  </si>
  <si>
    <t xml:space="preserve">Radicado: 28-4603-202203300020676 |  Número de Identificación: 26491452 |  Nombre o Razón Social: BERMEO DE TELLEZ EVIDIA |  País: COLOMBIA |  Departamento: BOGOTA |  Ciudad: BOGOTA |  Dirección: CL 55  # 77 B-24 ANILLO 12 AP 405 URB SANTA LIBRADA |  Teléfono: 3144309970 |  E-mail: EVI.DIA2611@GMAIL.COM |  Número de Folios : 3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02-4603-202203300442635 | </t>
  </si>
  <si>
    <t xml:space="preserve">Radicado: 28-2303-202203300020867 |  Número de Identificación: 1075278636 |  Nombre o Razón Social: HOYOS RUBIANO ANNY JULIETH |  País: COLOMBIA |  Departamento: BOGOTA |  Ciudad: BOGOTA |  Dirección: CL 14 SUR # 23A-29 |  Teléfono: 1 |  E-mail: solanny1820@hotmail.com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02-2303-202203300449202 | </t>
  </si>
  <si>
    <t xml:space="preserve">Radicado: 28-2303-202204010021168 |  Número de Identificación: 52265619 |  Nombre o Razón Social: MUï¿½OZ NEGRETE ELIANA EDTH |  País: COLOMBIA |  Departamento: BOGOTA |  Ciudad: BOGOTA |  Dirección: CL 66 # 80 40 |  Teléfono: 0 |  E-mail: N/A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02-2303-202204010462019 | </t>
  </si>
  <si>
    <t xml:space="preserve">Radicado: 28-4601-202203230019544 |  Número de Identificación: 1018443681 |  Nombre o Razón Social: LEON SANABRIA JHON FREDY |  País: COLOMBIA |  Departamento: BOGOTA |  Ciudad: BOGOTA |  Dirección: CR 89B #40-25  SUR patio bonito |  Teléfono: 3102690165 |  E-mail: JHON.LEON30@HOTMAIL.ES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02-4601-202203230403837 | </t>
  </si>
  <si>
    <t xml:space="preserve">Radicado: 28-2303-202203230019449 |  Número de Identificación: 8999990429 |  Nombre o Razón Social: MINISTERIO DE RELACIONES EXTERIORES |  País: COLOMBIA |  Departamento: BOGOTA |  Ciudad: BOGOTA |  Dirección: CR 5 9-03 |  Teléfono: 3814000 |  E-mail: jose.solano@cancilleria.gov.co |  Número de Folios : 1 |  Tipología: Novedades Aportes de Cesantias |  Requiere Modificación: No |  Tipo de Modificación: No Aplica |  Tipo de Empresa: Publica |  Tipo de Novedad: Monetaria |  Estado del Proceso 1: Ok. Aprobado |  Usuario Responsable: Breidy Julieth Quiroga Noguera |  Estado del Proceso 2: Ok. Aprobado |  Estado del Proceso 3: Dev. Devuelto |  Causal de Devolución PNC de Cara al Tercero 2: Inconsistencias en el Formato |  Respuesta procesamiento Cobis: Correo Electronico |  Radicado de Correspondencia Recibida: 02-2303-202203230401129 | </t>
  </si>
  <si>
    <t xml:space="preserve">Radicado: 28-2303-202203290020501 |  Número de Identificación: 25389516 |  Nombre o Razón Social: ANGULO  MARIA ELENA |  País: COLOMBIA |  Departamento: VALLE DEL CAUCA |  Ciudad: CALI |  Dirección: MZ 3 CASA 8 ETP |  Teléfono: 5142756 |  E-mail: MANGULO0310@GMAIL.COM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02-2303-202203290437777 | </t>
  </si>
  <si>
    <t xml:space="preserve">Radicado: 28-4603-202203280020222 |  Número de Identificación: 79688014 |  Nombre o Razón Social: SANCHEZ GUEVARA CARLOS ALBER |  País: COLOMBIA |  Departamento: BOGOTA |  Ciudad: BOGOTA |  Dirección: AK 19 154-41 |  Teléfono: 3165374700 |  E-mail: CSANCHEZG1@YAHOO.COM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02-4603-202203280429356 | </t>
  </si>
  <si>
    <t xml:space="preserve">Radicado: 28-4703-202203310020981 |  Número de Identificación: 1053874857 |  Nombre o Razón Social: MELENDEZ LONDONO LEONARDO JAVIER |  País: COLOMBIA |  Departamento: CALDAS |  Ciudad: MANIZALES |  Dirección: CALLE 96 35A 03 |  Teléfono: 3128135963 |  E-mail: LEONARDOJAVIERMELENDEZ82@GMAIL.COM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02-4703-202203310455691 | </t>
  </si>
  <si>
    <t xml:space="preserve">Radicado: 28-4601-202203280020293 |  Número de Identificación: 860005428 |  Nombre o Razón Social: ARRIENDOS COLOMBIA MD SAS  |  País: COLOMBIA |  Departamento: BOGOTA |  Ciudad: BOGOTA |  Dirección: CR 38 12  B 58  |  Teléfono: 3112057279 |  E-mail: arriendosltdafincaraiz12@hotmail.com |  Número de Folios : 14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02-4601-202203280431707 | </t>
  </si>
  <si>
    <t xml:space="preserve">Radicado: 28-4601-202203180018720 |  Número de Identificación: 1015480799 |  Nombre o Razón Social: MUNOZ VALENCIA SANTIAGO |  País: COLOMBIA |  Departamento: BOGOTA |  Ciudad: BOGOTA |  Dirección: CRR 111A # 73A-64 |  Teléfono: 3227864275 |  E-mail: SANTIMU417@GMAIL.COM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02-4601-202203180379806 | </t>
  </si>
  <si>
    <t xml:space="preserve">Radicado: 28-4803-202203290020457 |  Número de Identificación: 98370679 |  Nombre o Razón Social: NASNER  WILLIAM EDWING |  País: COLOMBIA |  Departamento: NARIÑO |  Ciudad: PASTO |  Dirección: VRD BOTANA # CA 5 SEC CATAMBUCO  |  Teléfono: 0 |  E-mail: @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02-4803-202203290435688 | </t>
  </si>
  <si>
    <t xml:space="preserve">Radicado: 28-2303-202203300020721 |  Número de Identificación: 9003877010 |  Nombre o Razón Social: LABORATORIO DE COSMETICOS LIDER OM SAS LIDER OM |  País: COLOMBIA |  Departamento: TOLIMA |  Ciudad: IBAGUE |  Dirección: CR 12 # 37 - 04 |  Teléfono: 2702120 |  E-mail: cosmeticoslider_om@hotmail.com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02-2303-202203300444351 | </t>
  </si>
  <si>
    <t xml:space="preserve">Radicado: 28-4302-202203290020496 |  Número de Identificación: 45761558 |  Nombre o Razón Social: MARIA DELROSARIO CASTRO TATIS |  País: COLOMBIA |  Departamento: BOLIVAR |  Ciudad: CARTAGENA |  Dirección: CR 8 B   25   56 |  Teléfono: 2605031 |  E-mail: na@na.com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02-4302-202203290437452 | </t>
  </si>
  <si>
    <t xml:space="preserve">Radicado: 28-4603-202203290020422 |  Número de Identificación: 63525382 |  Nombre o Razón Social: GAMBOA SUAREZ NOHEMI |  País: COLOMBIA |  Departamento: BOGOTA |  Ciudad: BOGOTA |  Dirección: CLL 29 SUR 11 D 22 |  Teléfono: 3197803185 |  E-mail: ABOGADA.SUAREZ21@GMAIL.COM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02-4603-202203290434703 | </t>
  </si>
  <si>
    <t xml:space="preserve">Radicado: 28-2303-202203300020768 |  Número de Identificación: 90038770010 |  Nombre o Razón Social: LABORATORIO DE COSMETICOS LIDER OM SAS  |  País: COLOMBIA |  Departamento: TOLIMA |  Ciudad: IBAGUE |  Dirección: CRA 12 N 37-04 |  Teléfono: 3127916005 |  E-mail: COSMETICOSLIDER_OM@HOTMAIL.COM |  Número de Folios : 0 |  Tipología: Planilla Manual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Respuesta procesamiento Cobis: Correo Electronico |  Requiere respuesta: No |  Radicado de Correspondencia Recibida: 02-2303-202203300445665 | </t>
  </si>
  <si>
    <t xml:space="preserve">Radicado: 28-2303-202203310020983 |  Número de Identificación: 1067097495 |  Nombre o Razón Social: MONTES MARTINEZ MEYDERMANUEL |  País: COLOMBIA |  Departamento: CORDOBA |  Ciudad: MONTERIA |  Dirección: CRA 12 A 2 46 |  Teléfono: 3126094415 |  E-mail: MMMONTES72@MISENA.EDU.CO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02-2303-202203310455801 | </t>
  </si>
  <si>
    <t xml:space="preserve">Radicado: 28-2303-202203280020188 |  Número de Identificación: 9010288686 |  Nombre o Razón Social: SOLUCIONES INNOVADORAS EN TEGNOLOGIA DE LA INFORMACION SAS |  País: COLOMBIA |  Departamento: MAGDALENA |  Ciudad: SANTA MARTA |  Dirección: CR 4 # 19 - 49 |  Teléfono: 0 |  E-mail: bertha.vanegas@sitiapp.com |  Número de Folios : 0 |  Tipología: Novedades Aportes de Cesantias |  Tipo de solicitud: Validacion de reporte |  Motivo: RV: SOLUCIONES INNOVADORAS EN TECNOLOGIAS DE LA INFORMACION -9010288686 - Solicitud de soportes |  Medio de recepción: Buzón Apoyo Empresas |  Requiere Modificación: No |  Tipo de Modificación: No Aplica |  Tipo de Empresa: Privada |  Tipo de Novedad: Monetaria |  Estado del Proceso 1: Ok. Aprobado |  Usuario Responsable: Jhonier James Leon Guzman |  Estado del Proceso 3: Ok. Aprobado |  Respuesta procesamiento Cobis: Correo Electronico |  Radicado de Correspondencia Recibida: 02-2303-202203280427619 | </t>
  </si>
  <si>
    <t xml:space="preserve">Radicado: 28-2303-202203290020599 |  Número de Identificación: 52499122  |  Nombre o Razón Social: RABA MARIN MARTA |  País: COLOMBIA |  Departamento: BOGOTA |  Ciudad: BOGOTA |  Dirección: CL 69 B BIS # 22 32 SUR |  Teléfono: 3704063 |  E-mail: MARTHARABA08@GMAIL.COM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02-2303-202203290440852 | </t>
  </si>
  <si>
    <t xml:space="preserve">Radicado: 28-2303-202203290020590 |  Número de Identificación: 8600040301 |  Nombre o Razón Social: R B DE COLOMBIA SA |  País: COLOMBIA |  Departamento: BOGOTA |  Ciudad: BOGOTA |  Dirección: CR 14 # 75 77 OF 701 |  Teléfono: 2102004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Estado del Proceso 3: Ok. Aprobado |  Respuesta procesamiento Cobis: Correo Electronico |  Radicado de Correspondencia Recibida: 02-2303-202203290440812 | </t>
  </si>
  <si>
    <t xml:space="preserve">Radicado: 28-2303-202203300020627 |  Número de Identificación: 901216537 |  Nombre o Razón Social: SANILAB IPS SAS |  País: COLOMBIA |  Departamento: CUNDINAMARCA |  Ciudad: ZIPAQUIRA |  Dirección: CR 10 A # 6 - 90 |  Teléfono: 8903121 |  E-mail: N/A |  Número de Folios : 0 |  Tipología: Novedades Aportes de Cesantias |  Requiere Modificación: No |  Tipo de Modificación: No Aplica |  Tipo de Empresa: Privada |  Tipo de Novedad: No Monetaria |  Estado del Proceso 1: Tramitado con Anterioridad |  Usuario Responsable: Ledher Julian Martin Sierra Cristancho |  Respuesta procesamiento Cobis: Correo Electronico |  Radicado de Correspondencia Recibida: 02-2303-202203300441072 | </t>
  </si>
  <si>
    <t xml:space="preserve">Radicado: 28-2303-202203300020694 |  Número de Identificación: 1012426502 |  Nombre o Razón Social: SANCHEZ LOZADA SEBASTIAN |  País: COLOMBIA |  Departamento: BOGOTA |  Ciudad: BOGOTA |  Dirección: CL 7 A BIS # 79 D - 31 EL CONDADO |  Teléfono: 3046701856 |  E-mail: ssebastiansanchez@gmail.com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02-2303-202203300443173 | </t>
  </si>
  <si>
    <t xml:space="preserve">Radicado: 28-2303-202204010020996 |  Número de Identificación: 8999991022 |  Nombre o Razón Social: FUERZA AEREA COLOMBIANA FAC |  País: COLOMBIA |  Departamento: BOGOTA |  Ciudad: BOGOTA |  Dirección: CR 52 AV EL DORADO OF 311 CAN |  Teléfono: 3150111 |  E-mail: NOHORA.LATORRES@FAC.MIL.CO |  Número de Folios : 1 |  Tipología: Cargue de Aportes Entidades Publicas Y Privadas y/o Modificacion de Aportes o Disponible |  Requiere Modificación: No |  Tipo de Modificación: No Aplica |  Tipo de Empresa: Publica |  Tipo de Novedad: Autorizacion TVA |  Estado del Proceso 1: Tramitado con Anterioridad |  Usuario Responsable: Ledher Julian Martin Sierra Cristancho |  Respuesta procesamiento Cobis: Correo Electronico |  Requiere respuesta: Si |  Radicado de Correspondencia Recibida: 02-2303-202204010457468 | </t>
  </si>
  <si>
    <t xml:space="preserve">Radicado: 28-4301-202203300020716 |  Número de Identificación: 72152481 |  Nombre o Razón Social: CASTANO PONZON JULIO RAFAEL |  País: COLOMBIA |  Departamento: ATLANTICO |  Ciudad: BARRANQUILLA |  Dirección: CR 41 # 32 - 19 |  Teléfono: 3126687094 |  E-mail: JULIO0721@HOTMAIL.COM |  Número de Folios : 2 |  Tipología: Novedades Aportes de Cesantias |  Requiere Modificación: No |  Tipo de Modificación: No Aplica |  Tipo de Empresa: Privada |  Tipo de Novedad: Monetaria |  Estado del Proceso 1: Ok. Aprobado |  Usuario Responsable: Jhonier James Leon Guzman |  Estado del Proceso 3: Ok. Aprobado |  Respuesta procesamiento Cobis: Correo Electronico |  Radicado de Correspondencia Recibida: 02-4301-202203300444095 | </t>
  </si>
  <si>
    <t xml:space="preserve">Radicado: 28-2303-202203310020991 |  Número de Identificación: 52427309 |  Nombre o Razón Social: MUÑOZ LABAJOS NATALIA ALEXANDRA |  País: COLOMBIA |  Departamento: BOGOTA |  Ciudad: BOGOTA |  Dirección: N/A |  Teléfono: N/A |  E-mail: nosoriov@deaj.ramajudicial.gov.co |  Número de Folios : 1 |  Tipología: Novedades Aportes de Cesantias |  Motivo: Corrección cédula y y reversar valor que se encuentra en el número de cc  7144602  por $8.840.237 y depositarlo en la cuenta de la entidad |  Requiere Modificación: No |  Tipo de Modificación: No Aplica |  Tipo de Empresa: Publica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02-2303-202203310456283 | </t>
  </si>
  <si>
    <t xml:space="preserve">Radicado: 28-2303-202203290020544 |  Número de Identificación: 901216537 |  Nombre o Razón Social: SANILAB IPS SAS |  País: COLOMBIA |  Departamento: CUNDINAMARCA |  Ciudad: ZIPAQUIRA |  Dirección: CR 10 A # 6 - 90 |  Teléfono: 0 |  E-mail: contabilidadsanilabips@gmail.com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02-2303-202203290439245 | </t>
  </si>
  <si>
    <t xml:space="preserve">Radicado: 28-2303-202203240019873 |  Número de Identificación: 382003271 |  Nombre o Razón Social: GUTIERREZ DE DURAN GILMA ROSA |  País: COLOMBIA |  Departamento: TOLIMA |  Ciudad: PLANADAS |  Dirección: CLL PRINCIPALGAITANA |  Teléfono: 3138546992 |  E-mail: EMMV69@YAHOO.COM |  Número de Folios : 2 |  Tipología: Planilla Manual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Estado del Proceso 5: Ok. Aprobado |  Causal de Devolución PNC: Correcto |  Requiere respuesta: Si |  Radicado de Correspondencia Recibida: 02-2303-202203240412722 | </t>
  </si>
  <si>
    <t xml:space="preserve">Radicado: 28-4301-202203300020714 |  Número de Identificación: 1091674113 |  Nombre o Razón Social: TORRES YARURO JULIANHERNANDO |  País: COLOMBIA |  Departamento: ATLANTICO |  Ciudad: BARRANQUILLA |  Dirección: CR 65 N 48 -156 |  Teléfono: 3229702863 |  E-mail: NANDO.TY@HOTMAIL.COM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02-4301-202203300444053 | </t>
  </si>
  <si>
    <t xml:space="preserve">Radicado: 28-4605-202203300020640 |  Número de Identificación: 80251231 |  Nombre o Razón Social: ROBAYO CASTELLANOS FREDY ALEJANDRI |  País: COLOMBIA |  Departamento: BOGOTA |  Ciudad: BOGOTA |  Dirección: KR 46 A 76 41 SUR JERUSALEN |  Teléfono: 7310902 |  E-mail: FREDYROBAYO7@GMAIL.COM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02-4605-202203300441238 | </t>
  </si>
  <si>
    <t xml:space="preserve">Radicado: 28-2303-202203310020910 |  Número de Identificación: 1070989594 |  Nombre o Razón Social: RONDON AGUDELO DANIEL ALEJANDR |  País: COLOMBIA |  Departamento: BOGOTA |  Ciudad: BOGOTA |  Dirección: CR 5 # 2-213 |  Teléfono: 1 |  E-mail: danielrondon1103@gmail.com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02-2303-202203310450366 | </t>
  </si>
  <si>
    <t xml:space="preserve">Radicado: 28-2303-202204010021044 |  Número de Identificación: 1077144034 |  Nombre o Razón Social: NESTOR ALEXANDER QUINTERO MORENO |  País: COLOMBIA |  Departamento: BOGOTA |  Ciudad: BOGOTA |  Dirección: CL 82 #95 C 14 |  Teléfono: 0 |  E-mail: alexguin23@hotmail.com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02-2303-202204010460729 | </t>
  </si>
  <si>
    <t xml:space="preserve">Radicado: 28-2303-202203300020665 |  Número de Identificación: 1036614304 |  Nombre o Razón Social: VALLEJO RESTREPO LINA MARCELA |  País: COLOMBIA |  Departamento: BOGOTA |  Ciudad: BOGOTA |  Dirección: sin datos |  Teléfono: sin datos |  E-mail: @ |  Número de Folios : 1 |  Tipología: Novedades Aportes de Cesantias |  Tipo de solicitud: Inconsistencias |  Motivo: se solicita corrección tipo de documento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02-2303-202203300442257 | </t>
  </si>
  <si>
    <t xml:space="preserve">Radicado: 28-4805-202204010021051 |  Número de Identificación: 94541057 |  Nombre o Razón Social: GUILLERMO ALONSO MENESES POLONIA |  País: COLOMBIA |  Departamento: VALLE DEL CAUCA |  Ciudad: CALI |  Dirección: CL 10A 42 OESTE 142 |  Teléfono: 3107176320 |  E-mail: guillo8504@gmail.com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02-4805-202204010460827 | </t>
  </si>
  <si>
    <t xml:space="preserve">Radicado: 28-2303-202203310020891 |  Número de Identificación: 43204384 |  Nombre o Razón Social: CUARTAS VILLEGAS GLADYS  ESTELLA |  País: COLOMBIA |  Departamento: ANTIOQUIA |  Ciudad: MEDELLIN |  Dirección: CR 25 B # 37 - 47 |  Teléfono: 3002500383 |  E-mail: GLADYSVILLEGAS2009@HOTMAIL.ES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02-2303-202203310449790 | </t>
  </si>
  <si>
    <t xml:space="preserve">Radicado: 28-4701-202204010021008 |  Número de Identificación: 43204384 |  Nombre o Razón Social: CUARTAS VILLEGAS GLADYS  ESTELLA |  País: COLOMBIA |  Departamento: ANTIOQUIA |  Ciudad: MEDELLIN |  Dirección: CR 25B # 37-47 |  Teléfono: 3002500383 |  E-mail: GLADYSVILLEGAS2009@HOTMAIL.COM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02-4701-202204010458648 | </t>
  </si>
  <si>
    <t xml:space="preserve">Radicado: 28-2303-202204010021199 |  Número de Identificación: 925302732 |  Nombre o Razón Social: LLANTAS Y LLANTAS SINCELEJO ACOSTA RAMIREZ JAIDER JOSE |  País: COLOMBIA |  Departamento: BOGOTA |  Ciudad: BOGOTA |  Dirección: CL 32 #10A-101 AVENIDA ALFONSO LOPEZS |  Teléfono: 2802557 |  E-mail: jaider.acosta.r@hotmail.com |  Número de Folios : 1 |  Tipología: Cargue de Aportes Entidades Publicas Y Privadas y/o Modificacion de Aportes o Disponible |  Radicado de Correspondencia Recibida: 02-2303-202204010462365 | </t>
  </si>
  <si>
    <t xml:space="preserve">Radicado: 28-2303-202204010021206 |  Número de Identificación: 8305015041 |  Nombre o Razón Social: SERVICOMPLEMENTOS SAS |  País: COLOMBIA |  Departamento: BOGOTA |  Ciudad: BOGOTA |  Dirección: 0 |  Teléfono: 0 |  Número de Folios : 0 |  Tipología: Novedades Aportes de Cesantias |  Radicado de Correspondencia Recibida: 02-2303-202204010462440 | </t>
  </si>
  <si>
    <t xml:space="preserve">Radicado: 28-4901-202204010021161 |  Número de Identificación: 1130599015 |  Nombre o Razón Social: JOHN DAVID CHAGUENDO FAJARDO |  País: COLOMBIA |  Departamento: CAUCA |  Ciudad: POPAYAN |  Dirección: CL 119 #23-160 |  Teléfono: 31283712634203123 |  E-mail: jhondabi@gmail.com |  Número de Folios : 2 |  Tipología: Novedades Aportes de Cesantias |  Radicado de Correspondencia Recibida: 02-4901-202204010461960 | </t>
  </si>
  <si>
    <t xml:space="preserve">Radicado: 28-2303-202204010021244 |  Número de Identificación: 1016099677 |  Nombre o Razón Social: CASTRO MONGA LAURA KATERINE |  País: COLOMBIA |  Departamento: BOGOTA |  Ciudad: BOGOTA |  Dirección: CL 30 # 5-56 |  Teléfono: 1 |  E-mail: KATERINEMONGUACASTRO@GMAIL.COM |  Número de Folios : 0 |  Tipología: Novedades Aportes de Cesantias |  Radicado de Correspondencia Recibida: 02-2303-202204010463648 | </t>
  </si>
  <si>
    <t xml:space="preserve">Radicado: 28-2303-202204010021258 |  Número de Identificación: 1106398173 |  Nombre o Razón Social: CASTAï¿½EDA BOCANEGRA INGRID DAYANA |  País: COLOMBIA |  Departamento: CUNDINAMARCA |  Ciudad: SOACHA |  Dirección: CL 33 # 1 - 50  CA 144 |  Teléfono: 0 |  E-mail: DAYIS-0405@HOTMAIL.COM |  Número de Folios : 0 |  Tipología: Novedades Aportes de Cesantias |  Radicado de Correspondencia Recibida: 02-2303-202204010464256 | </t>
  </si>
  <si>
    <t xml:space="preserve">Radicado: 28-4701-202204010021240 |  Número de Identificación: 1110582773 |  Nombre o Razón Social: JORGE STEVEN MESA NOVOA |  País: COLOMBIA |  Departamento: ANTIOQUIA |  Ciudad: MEDELLIN |  Dirección: CR 66 # 32B-113 |  Teléfono: 3184485631 |  E-mail: STIVENMESA1997@GMAIL.COM |  Número de Folios : 2 |  Tipología: Novedades Aportes de Cesantias |  Radicado de Correspondencia Recibida: 02-4701-202204010463507 | </t>
  </si>
  <si>
    <t xml:space="preserve">Radicado: 28-4803-202204010021194 |  Número de Identificación: 1088738142 |  Nombre o Razón Social: DUQUE LEYTON ZARAMA LISETH |  País: COLOMBIA |  Departamento: NARIÑO |  Ciudad: PASTO |  Dirección: CRA 6 #18A-142 |  Teléfono: 3116732030 |  Número de Folios : 2 |  Tipología: Novedades Aportes de Cesantias |  Radicado de Correspondencia Recibida: 02-4803-202204010462281 | </t>
  </si>
  <si>
    <t xml:space="preserve">Radicado: 28-2303-202204010021304 |  Número de Identificación: 80204047 |  Nombre o Razón Social: DIAZ CASA JIMMY RENE |  País: COLOMBIA |  Departamento: CUNDINAMARCA |  Ciudad: MADRID |  Dirección: CL 22 # 2-43 |  Teléfono: 3114436928 |  E-mail: JIMYDIAZ0614@GMAIL.COM |  Número de Folios : 0 |  Tipología: Novedades Aportes de Cesantias |  Radicado de Correspondencia Recibida: 02-2303-202204010464587 | </t>
  </si>
  <si>
    <t xml:space="preserve">Radicado: 28-4903-202204010021184 |  Número de Identificación: 1075278636 |  Nombre o Razón Social: HOYOS RUBIANO ANNY JULIETH |  País: COLOMBIA |  Departamento: HUILA |  Ciudad: NEIVA |  Dirección: CL 14 SUR # 23A-29 |  Teléfono: 3008441179 |  E-mail: solanny1820@hotmail.com |  Número de Folios : 2 |  Tipología: Novedades Aportes de Cesantias |  Radicado de Correspondencia Recibida: 02-4903-202204010462148 | </t>
  </si>
  <si>
    <t xml:space="preserve">Radicado: 28-2303-202204020021351 |  Número de Identificación: 8000996426 |  Nombre o Razón Social: ALCALDIA MUNICIPAL DE TOCA |  País: COLOMBIA |  Departamento: BOYACA |  Ciudad: TOCA |  Dirección: CL 5 # 7 - 38 PS 3 |  Teléfono: 3174574541 |  E-mail: hacienda@toca-boyaca.gov.co |  Número de Folios : 0 |  Tipología: Novedades Aportes de Cesantias |  Radicado de Correspondencia Recibida: 02-2303-202204020467333 | </t>
  </si>
  <si>
    <t xml:space="preserve">Radicado: 28-4301-202204020021332 |  Número de Identificación: 1193475489 |  Nombre o Razón Social: RIVERA ARTETA HILARRY DANIELA |  País: COLOMBIA |  Departamento: ATLANTICO |  Ciudad: BARRANQUILLA |  Dirección: CR 22C # 64-67 |  Teléfono: 3003794189 |  E-mail: HILARRYRIVERA02@GMAIL.COM |  Número de Folios : 2 |  Tipología: Novedades Aportes de Cesantias |  Radicado de Correspondencia Recibida: 02-4301-202204020466686 | </t>
  </si>
  <si>
    <t xml:space="preserve">Radicado: 28-4603-202204020021317 |  Número de Identificación: 1081784480 |  Nombre o Razón Social: MANJARES PEREZ CARLOS MAURO |  País: COLOMBIA |  Departamento: BOGOTA |  Ciudad: BOGOTA |  Dirección: CL 76 SUR # 80M-25 BL 5 APA 603 |  Teléfono: 0 |  E-mail: karlosmauro@hotmail.com |  Número de Folios : 1 |  Tipología: Novedades Aportes de Cesantias |  Radicado de Correspondencia Recibida: 02-4603-202204020465582 | </t>
  </si>
  <si>
    <t xml:space="preserve">Radicado: 28-4604-202204020021343 |  Número de Identificación: 118203 |  Nombre o Razón Social: VALERO VALERO JORGE HERMOGENES |  País: COLOMBIA |  Departamento: BOGOTA |  Ciudad: BOGOTA |  Dirección: KR 57 125 A 46 IN 3 NIZA CORDOBA |  Teléfono: 2535443 |  Número de Folios : 2 |  Tipología: Novedades Aportes de Cesantias |  Radicado de Correspondencia Recibida: 02-4604-202204020467037 | </t>
  </si>
  <si>
    <t xml:space="preserve">Radicado: 28-4707-202204020021342 |  Número de Identificación: 1010184873 |  Nombre o Razón Social: HOYOS SOLER NATALYA |  País: COLOMBIA |  Departamento: TOLIMA |  Ciudad: IBAGUE |  Dirección: CRA 14B SUR # 95-120 |  Teléfono: 3133475111 |  E-mail: NATA.HOYOS1509@HOTMAIL.COM |  Número de Folios : 2 |  Tipología: Novedades Aportes de Cesantias |  Radicado de Correspondencia Recibida: 02-4707-202204020467002 | </t>
  </si>
  <si>
    <t xml:space="preserve">Radicado: 28-2303-202204010021198 |  Número de Identificación: 1098759545 |  Nombre o Razón Social: JESY KAROLINA ACUÑA LOPEZ |  País: COLOMBIA |  Departamento: BOGOTA |  Ciudad: BOGOTA |  Dirección: CL 104 #7A-11 |  Teléfono: NO TIENE |  E-mail: lauritadiazosorio@gmail.com |  Número de Folios : 1 |  Tipología: Novedades AVC Monetarias |  Radicado de Correspondencia Recibida: 02-2303-202204010462359 | </t>
  </si>
  <si>
    <t xml:space="preserve">Radicado: 28-2303-202204010021269 |  Número de Identificación: 901006886 |  Nombre o Razón Social: AGENCIA DE RENOVACIÓN DEL TERRITORIO ART |  País: COLOMBIA |  Departamento: BOGOTA |  Ciudad: BOGOTA |  Dirección: carrera 7 # 32 - 24 |  Teléfono: 4221030 |  E-mail: Olga.Burgos@renovacionterritorio.gov.co |  Número de Folios : 0 |  Tipología: Novedades AVC Monetarias |  Radicado de Correspondencia Recibida: 02-2303-202204010464432 | </t>
  </si>
  <si>
    <t xml:space="preserve">Radicado: 28-4704-202204010021117 |  Número de Identificación: 395224 |  Nombre o Razón Social: ANGELO  CARDAMURO |  País: COLOMBIA |  Departamento: QUINDIO |  Ciudad: SALENTO |  Dirección: CL 4   5-58 |  Teléfono: 3157872648 |  E-mail: ANGELOCARDAMURO@GMAIL.COM |  Número de Folios : 3 |  Tipología: Novedades AVC Monetarias |  Radicado de Correspondencia Recibida: 02-4704-202204010461511 | </t>
  </si>
  <si>
    <t xml:space="preserve">Radicado: 28-4905-202204010021220 |  Número de Identificación: 1030538667 |  Nombre o Razón Social: LATORRE MOLINA JOSE ASNETH |  País: COLOMBIA |  Departamento: CUNDINAMARCA |  Ciudad: EL COLEGIO |  Dirección: CLL 8#6-17 CENTRO |  Teléfono: 3213012412 |  Número de Folios : 2 |  Tipología: Novedades AVC Monetarias |  Radicado de Correspondencia Recibida: 02-4905-202204010462838 | </t>
  </si>
  <si>
    <t xml:space="preserve">Radicado: 28-2303-202204010021275 |  Número de Identificación: 763685 |  Nombre o Razón Social: VIVAS BARRETO MARCO ANTONIO |  País: COLOMBIA |  Departamento: BOGOTA |  Ciudad: BOGOTA |  Dirección: CARRERA 81 F # 1 A 18 |  Teléfono: 3219924253 |  E-mail: vivasmarco11@gmail.com |  Número de Folios : 0 |  Tipología: Novedades AVC Monetarias |  Radicado de Correspondencia Recibida: 02-2303-202204010464486 | </t>
  </si>
  <si>
    <t xml:space="preserve">Radicado: 04-4603-202203310016889 |  ¿Requiere que la petición sea anónima?: NO |  Tipo de documento: CEDULA DE CIUDADANIA |  Número de documento: 19360899 |  Apellidos y Nombres: ARMANDO JIMENEZ LEON |  Género: Masculino |  Pais de residencia: COLOMBIA |  Departamento de residencia: BOGOTA |  Ciudad de residencia: BOGOTA |  Dirección: CL 175 # 17B-10   |  Teléfono casa / oficina: 0 |  Teléfono Móvil: 3213434888 |  Autoriza el envío de la respuesta a su correo electrónico: SI |  Correo Electrónico: ARMJIMENEZ@YAHOO.ES |  Tipo de población: Cliente |  Tipo de petición: Escoja una opción |  Tipologia: PQRS |  Descripción de la petición: SOLICITUD |  Medio Recepción: Punto de atención |  Nivel de respuesta: Escoja una opción |  Area responsable: Escoja una opción |  Cédula Asesor: 1020744232 |  Nombre del Asesor: JUAN PABLO CASTILLO |  Punto de Atención: Angel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02-4603-202203310450840 |  Radicado respuesta:  |  Radicado respuesta Parcial:  |  Tipología (Homologada): PQRS |  Tipo Petición (Homologada): Escoja una opción | </t>
  </si>
  <si>
    <t xml:space="preserve">Radicado: 04-2303-202204010017276 |  ¿Requiere que la petición sea anónima?: NO |  Justifique la razón por la cual debe ser anónima:  |  Tipo de documento: CEDULA DE CIUDADANIA |  Número de documento: 1094931575 |  Apellidos y Nombres: ALVAREZ ACOSTA LUISA FERNANDA  |  Género: Femenino |  Pais de residencia: COLOMBIA |  Departamento de residencia: BOGOTA |  Ciudad de residencia: BOGOTA |  Dirección: MZ 8 # 12 LAS ACACIAS |  Teléfono casa / oficina: No aplica |  Teléfono Móvil: 3017268639 |  Autoriza el envío de la respuesta a su correo electrónico: SI |  Correo Electrónico: mini.fernandaa1@gmail.com |  Tipo de población: Cliente |  Tipo de petición: TRAMITES O SERVICIOS |  Tipologia: Solicitud acerca de Cuentas |  Descripción de la petición: SOLICITUD 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02-2303-202204010463529 |  Radicado respuesta:  |  Radicado respuesta Parcial:  |  Tipología (Homologada): Solicitud acerca de Cuentas |  Tipo Petición (Homologada): TRAMITES O SERVICIOS | </t>
  </si>
  <si>
    <t xml:space="preserve">Radicado: 28-2303-202204010021035 |  Número de Identificación: 8290018466 |  Nombre o Razón Social: ESE CENTRO SALUD BARRANCABERMEJA |  País: COLOMBIA |  Departamento: SANTANDER |  Ciudad: BARRANCABERMEJA |  Dirección: TV 47 A # 57 - 29 |  Teléfono: 6138154 |  E-mail: recursohumano@esebarrancabermeja.gov.co |  Número de Folios : 0 |  Tipología: Conciliacion SGP |  Radicado de Correspondencia Recibida: 02-2303-202204010460350 | </t>
  </si>
  <si>
    <t>28-2303-202204010021028</t>
  </si>
  <si>
    <t>ABRIL</t>
  </si>
  <si>
    <t>28-2303-202204010021039</t>
  </si>
  <si>
    <t>28-2303-202204010021043</t>
  </si>
  <si>
    <t>28-2303-202204010021058</t>
  </si>
  <si>
    <t>28-2303-202204010021113</t>
  </si>
  <si>
    <t>28-4301-202204010021034</t>
  </si>
  <si>
    <t>28-2303-202204010021248</t>
  </si>
  <si>
    <t>28-2303-202204010021253</t>
  </si>
  <si>
    <t>28-2303-202204010021278</t>
  </si>
  <si>
    <t>28-2303-202204010021282</t>
  </si>
  <si>
    <t>28-2303-202204010021291</t>
  </si>
  <si>
    <t>28-2303-202204020021347</t>
  </si>
  <si>
    <t>28-4903-202203310020982</t>
  </si>
  <si>
    <t>28-2303-202204010021076</t>
  </si>
  <si>
    <t>28-2303-202204010021081</t>
  </si>
  <si>
    <t>28-2303-202203310020985</t>
  </si>
  <si>
    <t>28-2303-202203310020986</t>
  </si>
  <si>
    <t>28-2303-202203310020989</t>
  </si>
  <si>
    <t>28-4706-202204010021053</t>
  </si>
  <si>
    <t>28-2303-202204010021130</t>
  </si>
  <si>
    <t>28-2303-202204010021147</t>
  </si>
  <si>
    <t>28-2303-202204010021177</t>
  </si>
  <si>
    <t>28-2303-202204010021195</t>
  </si>
  <si>
    <t>28-2303-202204010021200</t>
  </si>
  <si>
    <t>28-2303-202204010021201</t>
  </si>
  <si>
    <t>28-2303-202204010021202</t>
  </si>
  <si>
    <t>28-2303-202204010021221</t>
  </si>
  <si>
    <t>28-2303-202204010021225</t>
  </si>
  <si>
    <t>28-2303-202204010021237</t>
  </si>
  <si>
    <t>28-2303-202204010021238</t>
  </si>
  <si>
    <t>28-2303-202204010021040</t>
  </si>
  <si>
    <t>28-2303-202204010021228</t>
  </si>
  <si>
    <t>28-2303-202204010021056</t>
  </si>
  <si>
    <t>28-2303-202204010021027</t>
  </si>
  <si>
    <t>28-4701-202204010021010</t>
  </si>
  <si>
    <t>28-2303-202203310020987</t>
  </si>
  <si>
    <t>28-2303-202204010021255</t>
  </si>
  <si>
    <t>28-4803-202204010021011</t>
  </si>
  <si>
    <t>28-2303-202204010021261</t>
  </si>
  <si>
    <t>28-2303-202204010021263</t>
  </si>
  <si>
    <t>28-2303-202204010021265</t>
  </si>
  <si>
    <t>28-4704-202204010021023</t>
  </si>
  <si>
    <t>28-2303-202204010021273</t>
  </si>
  <si>
    <t>28-4708-202204010021232</t>
  </si>
  <si>
    <t>28-2303-202204010021296</t>
  </si>
  <si>
    <t>28-2303-202204010021299</t>
  </si>
  <si>
    <t>28-2303-202204010021302</t>
  </si>
  <si>
    <t>28-2303-202204010021306</t>
  </si>
  <si>
    <t>28-2303-202204020021312</t>
  </si>
  <si>
    <t>28-2303-202204020021324</t>
  </si>
  <si>
    <t>28-2303-202204020021330</t>
  </si>
  <si>
    <t>28-4901-202204020021320</t>
  </si>
  <si>
    <t>28-2303-202204020021349</t>
  </si>
  <si>
    <t>28-2303-202204020021353</t>
  </si>
  <si>
    <t>28-2303-202204020021354</t>
  </si>
  <si>
    <t>28-2303-202204020021356</t>
  </si>
  <si>
    <t>28-4603-202204020021309</t>
  </si>
  <si>
    <t>28-4603-202204020021315</t>
  </si>
  <si>
    <t>28-4603-202204020021316</t>
  </si>
  <si>
    <t>28-4603-202204020021318</t>
  </si>
  <si>
    <t>28-4603-202204020021319</t>
  </si>
  <si>
    <t>28-4603-202204020021323</t>
  </si>
  <si>
    <t>28-4701-202204020021333</t>
  </si>
  <si>
    <t>28-2303-202204020021363</t>
  </si>
  <si>
    <t>28-4703-202204020021341</t>
  </si>
  <si>
    <t>28-2303-202204010021170</t>
  </si>
  <si>
    <t>28-4601-202203230019503</t>
  </si>
  <si>
    <t>28-2303-202204010021168</t>
  </si>
  <si>
    <t>28-4601-202203180018720</t>
  </si>
  <si>
    <t>28-2303-202203310020983</t>
  </si>
  <si>
    <t>28-2303-202204010021044</t>
  </si>
  <si>
    <t>28-4805-202204010021051</t>
  </si>
  <si>
    <t>28-4701-202204010021008</t>
  </si>
  <si>
    <t>28-2303-202204010021199</t>
  </si>
  <si>
    <t>28-2303-202204010021206</t>
  </si>
  <si>
    <t>28-4901-202204010021161</t>
  </si>
  <si>
    <t>28-2303-202204010021244</t>
  </si>
  <si>
    <t>28-2303-202204010021258</t>
  </si>
  <si>
    <t>28-4701-202204010021240</t>
  </si>
  <si>
    <t>28-4803-202204010021194</t>
  </si>
  <si>
    <t>28-2303-202204010021304</t>
  </si>
  <si>
    <t>28-4903-202204010021184</t>
  </si>
  <si>
    <t>28-2303-202204020021351</t>
  </si>
  <si>
    <t>28-4301-202204020021332</t>
  </si>
  <si>
    <t>28-4603-202204020021317</t>
  </si>
  <si>
    <t>28-4604-202204020021343</t>
  </si>
  <si>
    <t>28-4707-202204020021342</t>
  </si>
  <si>
    <t>28-2303-202204010021198</t>
  </si>
  <si>
    <t>28-2303-202204010021269</t>
  </si>
  <si>
    <t>28-4704-202204010021117</t>
  </si>
  <si>
    <t>28-4905-202204010021220</t>
  </si>
  <si>
    <t>28-2303-202204010021275</t>
  </si>
  <si>
    <t>04-4603-202203310016889</t>
  </si>
  <si>
    <t>04-2303-202204010017276</t>
  </si>
  <si>
    <t>28-2303-202204010021035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</si>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</sst>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theme="4" tint="-0.249977111117893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1">
    <xf numFmtId="0" fontId="0" fillId="0" borderId="0" applyBorder="0"/>
  </cellStyleXfs>
  <cellXfs count="47">
    <xf numFmtId="0" fontId="0" fillId="0" borderId="0" xfId="0" applyNumberFormat="1" applyFill="1" applyAlignment="1" applyProtection="1"/>
    <xf numFmtId="0" fontId="0" fillId="0" borderId="0" xfId="0" pivotButton="1" applyNumberFormat="1" applyFill="1" applyAlignment="1" applyProtection="1"/>
    <xf numFmtId="0" fontId="0" fillId="0" borderId="0" xfId="0" applyNumberFormat="1" applyFill="1" applyAlignment="1" applyProtection="1">
      <alignment horizontal="left"/>
    </xf>
    <xf numFmtId="1" fontId="2" fillId="2" borderId="0" xfId="0" applyNumberFormat="1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14" fontId="2" fillId="2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quotePrefix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4" fontId="3" fillId="5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 applyProtection="1">
      <alignment horizontal="left" vertical="center"/>
    </xf>
    <xf numFmtId="0" fontId="0" fillId="0" borderId="0" xfId="0" applyNumberFormat="1" applyFill="1" applyAlignment="1" applyProtection="1">
      <alignment horizontal="left" vertical="center" wrapText="1"/>
    </xf>
    <xf numFmtId="0" fontId="1" fillId="6" borderId="0" xfId="0" applyNumberFormat="1" applyFont="1" applyFill="1" applyAlignment="1" applyProtection="1">
      <alignment horizontal="left" vertical="center"/>
    </xf>
    <xf numFmtId="0" fontId="1" fillId="6" borderId="0" xfId="0" quotePrefix="1" applyNumberFormat="1" applyFont="1" applyFill="1" applyAlignment="1" applyProtection="1">
      <alignment horizontal="left" vertical="center"/>
    </xf>
    <xf numFmtId="0" fontId="1" fillId="7" borderId="0" xfId="0" applyNumberFormat="1" applyFont="1" applyFill="1" applyAlignment="1" applyProtection="1">
      <alignment horizontal="left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Fill="1" applyAlignment="1" applyProtection="1">
      <alignment horizontal="left" indent="1"/>
    </xf>
    <xf numFmtId="0" fontId="0" fillId="0" borderId="0" xfId="0" applyNumberFormat="1" applyFill="1" applyBorder="1" applyAlignment="1" applyProtection="1">
      <alignment horizontal="left" vertical="center"/>
    </xf>
    <xf numFmtId="14" fontId="0" fillId="0" borderId="0" xfId="0" applyNumberFormat="1" applyFill="1" applyBorder="1" applyAlignment="1" applyProtection="1">
      <alignment horizontal="left" vertical="center"/>
    </xf>
    <xf numFmtId="14" fontId="0" fillId="2" borderId="0" xfId="0" applyNumberFormat="1" applyFill="1" applyBorder="1" applyAlignment="1" applyProtection="1">
      <alignment horizontal="left" vertical="center"/>
    </xf>
    <xf numFmtId="0" fontId="0" fillId="2" borderId="0" xfId="0" applyNumberFormat="1" applyFill="1" applyBorder="1" applyAlignment="1" applyProtection="1">
      <alignment horizontal="left" vertical="center"/>
    </xf>
    <xf numFmtId="0" fontId="2" fillId="2" borderId="0" xfId="0" quotePrefix="1" applyFont="1" applyFill="1" applyBorder="1" applyAlignment="1">
      <alignment horizontal="left" vertical="center"/>
    </xf>
    <xf numFmtId="0" fontId="0" fillId="8" borderId="0" xfId="0" applyNumberFormat="1" applyFill="1" applyAlignment="1" applyProtection="1">
      <alignment horizontal="left" vertical="center"/>
    </xf>
    <xf numFmtId="0" fontId="3" fillId="4" borderId="2" xfId="0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14" fontId="3" fillId="4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Border="1" applyAlignment="1">
      <alignment horizontal="left" vertical="center"/>
    </xf>
    <xf numFmtId="14" fontId="0" fillId="2" borderId="0" xfId="0" applyNumberFormat="1" applyFill="1" applyAlignment="1">
      <alignment horizontal="left" vertical="center"/>
    </xf>
    <xf numFmtId="0" fontId="3" fillId="4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2" borderId="0" xfId="0" applyNumberFormat="1" applyFont="1" applyFill="1" applyBorder="1" applyAlignment="1">
      <alignment horizontal="left" vertical="center"/>
    </xf>
    <xf numFmtId="0" fontId="3" fillId="5" borderId="0" xfId="0" applyNumberFormat="1" applyFont="1" applyFill="1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0" fillId="9" borderId="0" xfId="0" applyNumberFormat="1" applyFill="1" applyAlignment="1" applyProtection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0" fillId="0" borderId="0" xfId="0" applyNumberFormat="1" applyFont="1" applyFill="1" applyAlignment="1" applyProtection="1">
      <alignment horizontal="left" vertical="center"/>
    </xf>
    <xf numFmtId="0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219075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Ernesto Pulido Cortes" refreshedDate="44655.381378819446" createdVersion="7" refreshedVersion="7" minRefreshableVersion="3" recordCount="501" xr:uid="{52E5CE63-62C1-418A-BA65-C4B8D078E80E}">
  <cacheSource type="worksheet">
    <worksheetSource ref="A3:R1048561" sheet="Data"/>
  </cacheSource>
  <cacheFields count="19">
    <cacheField name="Responsable" numFmtId="0">
      <sharedItems containsBlank="1" count="18">
        <s v="bquirogan"/>
        <s v="lsuareza"/>
        <s v="pgcastillo"/>
        <s v="oreyesp"/>
        <s v="efloreza"/>
        <s v="jlramirez"/>
        <s v="jjleon"/>
        <s v="lsierrac"/>
        <s v="mespejov"/>
        <s v="hocampo"/>
        <m/>
        <s v="krivera" u="1"/>
        <s v="caolarte" u="1"/>
        <s v="agodoy" u="1"/>
        <s v="aababativa" u="1"/>
        <s v="arodriguez" u="1"/>
        <s v="nmesa" u="1"/>
        <s v="dcastros" u="1"/>
      </sharedItems>
    </cacheField>
    <cacheField name="Proceso No." numFmtId="0">
      <sharedItems containsString="0" containsBlank="1" containsNumber="1" containsInteger="1" minValue="11854248" maxValue="12353975"/>
    </cacheField>
    <cacheField name="Tipo" numFmtId="0">
      <sharedItems containsBlank="1"/>
    </cacheField>
    <cacheField name="Radicado" numFmtId="0">
      <sharedItems containsBlank="1"/>
    </cacheField>
    <cacheField name="Fecha Asig" numFmtId="0">
      <sharedItems containsNonDate="0" containsDate="1" containsString="0" containsBlank="1" minDate="2022-02-08T10:33:00" maxDate="2022-04-04T00:00:00" count="15">
        <d v="2022-02-08T10:33:00"/>
        <d v="2022-03-10T00:00:00"/>
        <d v="2022-03-11T00:00:00"/>
        <d v="2022-03-15T00:00:00"/>
        <d v="2022-03-16T00:00:00"/>
        <d v="2022-03-17T00:00:00"/>
        <d v="2022-03-23T00:00:00"/>
        <d v="2022-03-24T00:00:00"/>
        <d v="2022-03-27T00:00:00"/>
        <d v="2022-03-28T00:00:00"/>
        <d v="2022-03-29T00:00:00"/>
        <d v="2022-03-30T00:00:00"/>
        <d v="2022-03-31T00:00:00"/>
        <d v="2022-04-03T00:00:00"/>
        <m/>
      </sharedItems>
      <fieldGroup par="18" base="4">
        <rangePr groupBy="days" startDate="2022-02-08T10:33:00" endDate="2022-04-04T00:00:00"/>
        <groupItems count="368">
          <s v="(en blanco)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4/04/2022"/>
        </groupItems>
      </fieldGroup>
    </cacheField>
    <cacheField name="Fecha Ven" numFmtId="0">
      <sharedItems containsNonDate="0" containsDate="1" containsString="0" containsBlank="1" minDate="2022-02-15T00:00:00" maxDate="2022-04-09T00:00:00"/>
    </cacheField>
    <cacheField name="Hoy" numFmtId="0">
      <sharedItems containsNonDate="0" containsDate="1" containsString="0" containsBlank="1" minDate="2022-04-04T00:00:00" maxDate="2022-04-05T00:00:00"/>
    </cacheField>
    <cacheField name="Días vencidos" numFmtId="0">
      <sharedItems containsString="0" containsBlank="1" containsNumber="1" containsInteger="1" minValue="1" maxValue="39"/>
    </cacheField>
    <cacheField name="Mes" numFmtId="0">
      <sharedItems containsBlank="1"/>
    </cacheField>
    <cacheField name="Notificar" numFmtId="0">
      <sharedItems containsBlank="1"/>
    </cacheField>
    <cacheField name="Usuario Notificación" numFmtId="0">
      <sharedItems containsBlank="1" count="17">
        <s v="bquirogan"/>
        <s v="jjleon"/>
        <s v="pgcastillo"/>
        <s v="oreyesp"/>
        <s v="lsuareza"/>
        <s v="lsierrac"/>
        <s v="jlramirez"/>
        <s v=""/>
        <m/>
        <s v="hocampo" u="1"/>
        <s v="krivera" u="1"/>
        <s v="caolarte" u="1"/>
        <s v="efloreza" u="1"/>
        <s v="aababativa" u="1"/>
        <s v="arodriguez" u="1"/>
        <s v="nmesa" u="1"/>
        <s v="mespejov" u="1"/>
      </sharedItems>
    </cacheField>
    <cacheField name="Radicado Notificación" numFmtId="0">
      <sharedItems containsBlank="1" count="5">
        <s v="PENDIENTE"/>
        <s v=""/>
        <m/>
        <s v="01-2303-202203010121487" u="1"/>
        <s v="01-2303-202202210071712" u="1"/>
      </sharedItems>
    </cacheField>
    <cacheField name="Estado" numFmtId="0">
      <sharedItems containsBlank="1" count="11">
        <s v="INCIDENCIA 172190"/>
        <s v="PENDIENTE RESPUESTA NOVEDAD"/>
        <s v="PENDIENTE EJECUCIÓN NOVEDAD"/>
        <s v="EN REVISIÓN"/>
        <s v="PENDIENTE ELABORACIÓN OP"/>
        <s v="PENDIENTE ELABORACIÓN NOVEDAD"/>
        <m/>
        <s v="REGISTRO DE PAGO" u="1"/>
        <s v="NOVEDADES APORTES DE CESANTIAS" u="1"/>
        <s v="PENDIENTE EJECUCIÓN MODIFICACIÓN DE DISPONIBLE" u="1"/>
        <s v="PENDIENTE APROBACION OP" u="1"/>
      </sharedItems>
    </cacheField>
    <cacheField name="Observación" numFmtId="0">
      <sharedItems containsBlank="1"/>
    </cacheField>
    <cacheField name="Proceso" numFmtId="0">
      <sharedItems containsBlank="1" count="6">
        <s v="NOVEDADES APORTES DE CESANTIAS"/>
        <s v="DEVOLUCION DE APORTES"/>
        <s v="NOVEDADES AVC MONETARIAS"/>
        <s v="PQRD V3"/>
        <s v="CONCILIACION SGP"/>
        <m/>
      </sharedItems>
    </cacheField>
    <cacheField name="Paso" numFmtId="0">
      <sharedItems containsString="0" containsBlank="1" containsNumber="1" containsInteger="1" minValue="2" maxValue="10" count="10">
        <n v="2"/>
        <n v="7"/>
        <n v="6"/>
        <n v="10"/>
        <n v="8"/>
        <n v="5"/>
        <m/>
        <n v="3" u="1"/>
        <n v="9" u="1"/>
        <n v="4" u="1"/>
      </sharedItems>
    </cacheField>
    <cacheField name="Asunto" numFmtId="0">
      <sharedItems containsBlank="1"/>
    </cacheField>
    <cacheField name="Descripcion" numFmtId="0">
      <sharedItems containsBlank="1" longText="1"/>
    </cacheField>
    <cacheField name="Meses" numFmtId="0" databaseField="0">
      <fieldGroup base="4">
        <rangePr groupBy="months" startDate="2022-02-08T10:33:00" endDate="2022-04-04T00:00:00"/>
        <groupItems count="14">
          <s v="&lt;02/08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4/04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x v="0"/>
    <n v="11854248"/>
    <s v="Devolución"/>
    <s v="28-2303-202202070003479"/>
    <x v="0"/>
    <d v="2022-02-15T00:00:00"/>
    <d v="2022-04-04T00:00:00"/>
    <n v="39"/>
    <s v="FEBRERO"/>
    <s v="NOTIFICAR"/>
    <x v="0"/>
    <x v="0"/>
    <x v="0"/>
    <s v=""/>
    <x v="0"/>
    <x v="0"/>
    <s v="Asistentes FNA"/>
    <s v="Radicado: 28-2303-202202070003479 |  Número de Identificación: 8000183591 |  Nombre o Razón Social: BEL STAR SA BEL STAR SA |  País: COLOMBIA |  Departamento: BOGOTA |  Ciudad: BOGOTA |  Dirección: KM 22 AUTOP NORTE PARQUE INDUSTRIAL  CANAVITA |  Teléfono: 5930404 |  E-mail: glolopez@belcorp.biz |  Número de Folios : 0 |  Tipología: Apoyo Empresas |  Tipo de solicitud: Validacion de reporte |  Motivo: BEL STAR S. A.  - 800018359-1 caso RAD. 02-2303-202202030109914 |  Medio de recepción: Buzón Apoyo Empresas |  Requiere Modificación: No |  Tipo de Modificación: No Aplica |  Tipo de Empresa: Privada |  Tipo de Novedad: Monetaria Especial |  Estado del Proceso 1: Ok. Aprobado |  Usuario Responsable: Breidy Julieth Quiroga Noguera |  Estado del Proceso 2: Ok. Aprobado |  Resultado captura: Otras Solicitudes |  Respuesta procesamiento Cobis: Correo Electronico |  Estado del Proceso 5: Ok. Aprobado |  Causal de Devolución PNC: Correcto |  Requiere respuesta: No |  Radicado de Correspondencia Recibida: 02-2303-202202070125153 | "/>
  </r>
  <r>
    <x v="1"/>
    <n v="12152695"/>
    <s v="Reasignación"/>
    <s v="28-2303-202203100016410"/>
    <x v="1"/>
    <d v="2022-03-17T00:00:00"/>
    <d v="2022-04-04T00:00:00"/>
    <n v="17"/>
    <s v="MARZO"/>
    <s v="NOTIFICAR"/>
    <x v="1"/>
    <x v="0"/>
    <x v="1"/>
    <s v=""/>
    <x v="0"/>
    <x v="1"/>
    <s v="Respuesta Asistentes FNA"/>
    <s v="Radicado: 28-2303-202203100016410 |  Número de Identificación: 9002697964 |  Nombre o Razón Social: STYLE H SAS |  País: COLOMBIA |  Departamento: BOGOTA |  Ciudad: BOGOTA |  Dirección: CR 53 # 46 - 31 PS 11 CC METROHUECO |  Teléfono: 4449399 |  E-mail: recursoshumanos@stylehjeans.com.co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100330005 | "/>
  </r>
  <r>
    <x v="2"/>
    <n v="12149846"/>
    <s v="Normal"/>
    <s v="28-2303-202203100016338"/>
    <x v="1"/>
    <d v="2022-03-17T00:00:00"/>
    <d v="2022-04-04T00:00:00"/>
    <n v="17"/>
    <s v="MARZO"/>
    <s v="NOTIFICAR"/>
    <x v="0"/>
    <x v="0"/>
    <x v="2"/>
    <s v=""/>
    <x v="0"/>
    <x v="2"/>
    <s v="Asistentes FNA - Ejecución Novedad"/>
    <s v="Radicado: 28-2303-202203100016338 |  Número de Identificación: 1176370 |  Nombre o Razón Social: URDAETA PEREZ CARLOS EDUARDO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2303-202203100328068 | "/>
  </r>
  <r>
    <x v="0"/>
    <n v="12153374"/>
    <s v="Devolución"/>
    <s v="28-2303-202203100016465"/>
    <x v="1"/>
    <d v="2022-03-17T00:00:00"/>
    <d v="2022-04-04T00:00:00"/>
    <n v="17"/>
    <s v="MARZO"/>
    <s v="NOTIFICAR"/>
    <x v="0"/>
    <x v="0"/>
    <x v="3"/>
    <s v=""/>
    <x v="0"/>
    <x v="0"/>
    <s v="Asistentes FNA"/>
    <s v="Radicado: 28-2303-202203100016465 |  Número de Identificación: 517275767 |  Nombre o Razón Social: CASSIANO SANCHEZ LIGIA LUCIA |  País: COLOMBIA |  Departamento: BOGOTA |  Ciudad: BOGOTA |  Dirección: CR 21 # 137 - 05 |  Teléfono: 2742647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2303-202203100330627 | "/>
  </r>
  <r>
    <x v="3"/>
    <n v="12176840"/>
    <s v="Devolución"/>
    <s v="28-2303-202203120017336"/>
    <x v="2"/>
    <d v="2022-03-18T00:00:00"/>
    <d v="2022-04-04T00:00:00"/>
    <n v="16"/>
    <s v="MARZO"/>
    <s v="NOTIFICAR"/>
    <x v="1"/>
    <x v="0"/>
    <x v="3"/>
    <s v=""/>
    <x v="0"/>
    <x v="0"/>
    <s v="Asistentes FNA"/>
    <s v="Radicado: 28-2303-202203120017336 |  Número de Identificación: 79697131 |  Nombre o Razón Social: MANRIQUE DIAZ SERGIO ANDRES |  País: COLOMBIA |  Departamento: BOGOTA |  Ciudad: BOGOTA |  Dirección: CR 13 # 93 12  OF 201/501 |  Teléfono: 6219333 |  E-mail: NOTIENE@HOTMAIL.COM |  Número de Folios : 1 |  Tipología: Novedades Aportes de Cesantias |  Requiere Modificación: No |  Tipo de Modificación: No Aplica |  Tipo de Empresa: Privada |  Tipo de Novedad: Monetaria Especial |  Estado del Proceso 1: Ok. Aprobado |  Usuario Responsable: Jhonier James Leon Guzman |  Respuesta procesamiento Cobis: Correo Electronico |  Radicado de Correspondencia Recibida: 02-2303-202203120346398 | "/>
  </r>
  <r>
    <x v="4"/>
    <n v="12176840"/>
    <s v="Visto bueno"/>
    <s v="28-2303-202203120017336"/>
    <x v="2"/>
    <d v="2022-03-18T00:00:00"/>
    <d v="2022-04-04T00:00:00"/>
    <n v="16"/>
    <s v="MARZO"/>
    <s v="NOTIFICAR"/>
    <x v="1"/>
    <x v="0"/>
    <x v="3"/>
    <s v=""/>
    <x v="0"/>
    <x v="0"/>
    <s v="Asistentes FNA"/>
    <s v="Radicado: 28-2303-202203120017336 |  Número de Identificación: 79697131 |  Nombre o Razón Social: MANRIQUE DIAZ SERGIO ANDRES |  País: COLOMBIA |  Departamento: BOGOTA |  Ciudad: BOGOTA |  Dirección: CR 13 # 93 12  OF 201/501 |  Teléfono: 6219333 |  E-mail: NOTIENE@HOTMAIL.COM |  Número de Folios : 1 |  Tipología: Novedades Aportes de Cesantias |  Requiere Modificación: No |  Tipo de Modificación: No Aplica |  Tipo de Empresa: Privada |  Tipo de Novedad: Monetaria Especial |  Estado del Proceso 1: Ok. Aprobado |  Usuario Responsable: Jhonier James Leon Guzman |  Respuesta procesamiento Cobis: Correo Electronico |  Radicado de Correspondencia Recibida: 02-2303-202203120346398 | "/>
  </r>
  <r>
    <x v="0"/>
    <n v="12196873"/>
    <s v="Normal"/>
    <s v="28-2303-202203150017985"/>
    <x v="3"/>
    <d v="2022-03-23T00:00:00"/>
    <d v="2022-04-04T00:00:00"/>
    <n v="14"/>
    <s v="MARZO"/>
    <s v="NOTIFICAR"/>
    <x v="0"/>
    <x v="0"/>
    <x v="1"/>
    <s v=""/>
    <x v="1"/>
    <x v="3"/>
    <s v="Respuesta Asistentes FNA"/>
    <s v="Radicado: 28-2303-202203150017985 |  Número de Identificación: 345519628 |  Nombre o Razón Social: PANADERIA Y PASTELERIA ANGELICAL Y O GARCIA VARELA GLORIA INES |  País: COLOMBIA |  Departamento: CAUCA |  Ciudad: POPAYAN |  Dirección: CL 70 # 19 - 153 BRR BELLO HORIZONTE |  Teléfono: 3164926392 |  E-mail: efra152010@gmail.com |  Número de Folios : 0 |  Tipología: Devolucion de Aportes |  Requiere Modificación: Si |  Tipo de Modificación: Disponible |  Tipo de Empresa: Privada |  Tipo de Novedad: Monetaria |  Estado del Proceso 1: Ok. Aprobado |  Requiere Cargue/Novedad: No |  Estado del Proceso 2: Ok. Aprobado |  Estado del Proceso 4: Dev. Devuelto |  Respuesta procesamiento Cobis: Correo Electronico |  Radicado de Correspondencia Recibida: 02-2303-202203150360789 | "/>
  </r>
  <r>
    <x v="1"/>
    <n v="12207620"/>
    <s v="Reasignación"/>
    <s v="28-2303-202203160018307"/>
    <x v="4"/>
    <d v="2022-03-24T00:00:00"/>
    <d v="2022-04-04T00:00:00"/>
    <n v="13"/>
    <s v="MARZO"/>
    <s v="NOTIFICAR"/>
    <x v="2"/>
    <x v="0"/>
    <x v="1"/>
    <s v=""/>
    <x v="0"/>
    <x v="1"/>
    <s v="Respuesta Asistentes FNA"/>
    <s v="Radicado: 28-2303-202203160018307 |  Número de Identificación: 1003776879 |  Nombre o Razón Social: GARZON ARIAS NATALIA |  País: COLOMBIA |  Departamento: BOGOTA |  Ciudad: BOGOTA |  Dirección: CARRERA 9 # 74-SUR 21 |  Teléfono: 3219055999 |  E-mail: NATISYDUVIS18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160368298 | "/>
  </r>
  <r>
    <x v="5"/>
    <n v="12220948"/>
    <s v="Reasignación"/>
    <s v="28-2303-202203170018608"/>
    <x v="5"/>
    <d v="2022-03-25T00:00:00"/>
    <d v="2022-04-04T00:00:00"/>
    <n v="12"/>
    <s v="MARZO"/>
    <s v="NOTIFICAR"/>
    <x v="1"/>
    <x v="0"/>
    <x v="1"/>
    <s v=""/>
    <x v="0"/>
    <x v="1"/>
    <s v="Respuesta Asistentes FNA"/>
    <s v="Radicado: 28-2303-202203170018608 |  Número de Identificación: 8915800168 |  Nombre o Razón Social: GOBERNACION DEL CAUCA |  País: COLOMBIA |  Departamento: CAUCA |  Ciudad: POPAYAN |  Dirección: CR 6 # 3 - 82 |  Teléfono: 8244201 |  E-mail: seguridadsocial@cauca.gov.co |  Número de Folios : 0 |  Tipología: Novedades Aportes de Cesantias |  Requiere Modificación: No |  Tipo de Modificación: No Aplica |  Tipo de Empresa: Publica |  Tipo de Novedad: Autorizacion TVA |  Estado del Proceso 1: Tramitado con Anterioridad |  Usuario Responsable: Ledher Julian Martin Sierra Cristancho |  Estado del Proceso 2: Ok. Aprobado |  Respuesta procesamiento Cobis: Correo Electronico |  Radicado de Correspondencia Recibida: 02-2303-202203170377934 | "/>
  </r>
  <r>
    <x v="6"/>
    <n v="12256456"/>
    <s v="Normal"/>
    <s v="28-4705-202203160018285"/>
    <x v="6"/>
    <d v="2022-03-30T00:00:00"/>
    <d v="2022-04-04T00:00:00"/>
    <n v="9"/>
    <s v="MARZO"/>
    <s v="NOTIFICAR"/>
    <x v="1"/>
    <x v="0"/>
    <x v="1"/>
    <s v=""/>
    <x v="1"/>
    <x v="3"/>
    <s v="Respuesta Asistentes FNA"/>
    <s v="Radicado: 28-4705-202203160018285 |  Número de Identificación: 8160020207 |  Nombre o Razón Social: EMPRESA DE ACUEDUCTO Y ALCANTARILLADO DE PEREIRA SA ESP |  País: COLOMBIA |  Departamento: RISARALDA |  Ciudad: PEREIRA |  Dirección: CL 19 9-50 COMPLEJO URBANO DIARIO DEL OTUN LOCAL 42 |  Teléfono: 63353537 |  E-mail: @ |  Número de Folios : 8 |  Tipología: Devolucion de Aportes |  Requiere Modificación: No |  Tipo de Modificación: No Aplica |  Tipo de Empresa: Privada |  Tipo de Novedad: Monetaria |  Estado del Proceso 1: Ok. Aprobado |  Requiere Cargue/Novedad: Si |  Estado del Proceso 4: Ok. Aprobado |  Respuesta procesamiento Cobis: Correo Electronico |  Radicado de Correspondencia Recibida: 02-4705-202203160367475 | "/>
  </r>
  <r>
    <x v="0"/>
    <n v="12255846"/>
    <s v="Normal"/>
    <s v="28-2303-202203230019478"/>
    <x v="6"/>
    <d v="2022-03-30T00:00:00"/>
    <d v="2022-04-04T00:00:00"/>
    <n v="9"/>
    <s v="MARZO"/>
    <s v="NOTIFICAR"/>
    <x v="0"/>
    <x v="0"/>
    <x v="4"/>
    <s v=""/>
    <x v="1"/>
    <x v="4"/>
    <s v="Asistentes FNA - Elaboración Orden de Pago"/>
    <s v="Radicado: 28-2303-202203230019478 |  Número de Identificación: 9004447172 |  Nombre o Razón Social: CONEXIA SAS |  País: COLOMBIA |  Departamento: BOGOTA |  Ciudad: BOGOTA |  Dirección: CR 9 #77-67 PISO 6 OF 601 |  Teléfono: 4852664 |  E-mail: administracion-col@conexia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30401831 | "/>
  </r>
  <r>
    <x v="0"/>
    <n v="12263073"/>
    <s v="Normal"/>
    <s v="28-2303-202203240019591"/>
    <x v="6"/>
    <d v="2022-03-30T00:00:00"/>
    <d v="2022-04-04T00:00:00"/>
    <n v="9"/>
    <s v="MARZO"/>
    <s v="NOTIFICAR"/>
    <x v="0"/>
    <x v="0"/>
    <x v="4"/>
    <s v=""/>
    <x v="1"/>
    <x v="4"/>
    <s v="Asistentes FNA - Elaboración Orden de Pago"/>
    <s v="Radicado: 28-2303-202203240019591 |  Número de Identificación: 9003446594 |  Nombre o Razón Social: JMO INGENIERIA SAS |  País: COLOMBIA |  Departamento: VALLE DEL CAUCA |  Ciudad: CALI |  Dirección: CALLE 14C # 65-120 BLOQ 8-102 |  Teléfono: 3128696 |  E-mail: jmoingenieriasas@gmail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40406289 | "/>
  </r>
  <r>
    <x v="6"/>
    <n v="12258476"/>
    <s v="Devolución"/>
    <s v="28-2303-202203230019539"/>
    <x v="6"/>
    <d v="2022-03-30T00:00:00"/>
    <d v="2022-04-04T00:00:00"/>
    <n v="9"/>
    <s v="MARZO"/>
    <s v="NOTIFICAR"/>
    <x v="1"/>
    <x v="0"/>
    <x v="5"/>
    <s v=""/>
    <x v="0"/>
    <x v="5"/>
    <s v="Asistentes FNA - Elaboración Novedad"/>
    <s v="Radicado: 28-2303-202203230019539 |  Número de Identificación: 8915800168 |  Nombre o Razón Social: GOBERNACION DEL CAUCA |  País: COLOMBIA |  Departamento: CAUCA |  Ciudad: POPAYAN |  Dirección: CR 6 # 3 - 82 |  Teléfono: 8244201 |  E-mail: seguridadsocial@cauca.gov.co |  Número de Folios : 0 |  Tipología: Novedades Aportes de Cesantias |  Requiere Modificación: No |  Tipo de Modificación: No Aplica |  Tipo de Empresa: Publica |  Tipo de Novedad: Autorizacion TVA |  Estado del Proceso 1: Ok. Aprobado |  Usuario Responsable: Jhonier James Leon Guzman |  Estado del Proceso 2: Ok. Aprobado |  Respuesta procesamiento Cobis: Correo Electronico |  Radicado de Correspondencia Recibida: 02-2303-202203230403512 | "/>
  </r>
  <r>
    <x v="5"/>
    <n v="12254912"/>
    <s v="Reasignación"/>
    <s v="28-2303-202203230019449"/>
    <x v="6"/>
    <d v="2022-03-30T00:00:00"/>
    <d v="2022-04-04T00:00:00"/>
    <n v="9"/>
    <s v="MARZO"/>
    <s v="NOTIFICAR"/>
    <x v="0"/>
    <x v="0"/>
    <x v="1"/>
    <s v=""/>
    <x v="0"/>
    <x v="1"/>
    <s v="Respuesta Asistentes FNA"/>
    <s v="Radicado: 28-2303-202203230019449 |  Número de Identificación: 8999990429 |  Nombre o Razón Social: MINISTERIO DE RELACIONES EXTERIORES |  País: COLOMBIA |  Departamento: BOGOTA |  Ciudad: BOGOTA |  Dirección: CR 5 9-03 |  Teléfono: 3814000 |  E-mail: jose.solano@cancilleria.gov.co |  Número de Folios : 1 |  Tipología: Novedades Aportes de Cesantias |  Requiere Modificación: No |  Tipo de Modificación: No Aplica |  Tipo de Empresa: Publica |  Tipo de Novedad: Monetaria |  Estado del Proceso 1: Ok. Aprobado |  Usuario Responsable: Breidy Julieth Quiroga Noguera |  Estado del Proceso 2: Ok. Aprobado |  Estado del Proceso 3: Dev. Devuelto |  Causal de Devolución PNC de Cara al Tercero 2: Inconsistencias en el Formato |  Respuesta procesamiento Cobis: Correo Electronico |  Radicado de Correspondencia Recibida: 02-2303-202203230401129 | "/>
  </r>
  <r>
    <x v="2"/>
    <n v="12255286"/>
    <s v="Normal"/>
    <s v="28-4604-202203140017577"/>
    <x v="6"/>
    <d v="2022-03-30T00:00:00"/>
    <d v="2022-04-04T00:00:00"/>
    <n v="9"/>
    <s v="MARZO"/>
    <s v="NOTIFICAR"/>
    <x v="2"/>
    <x v="0"/>
    <x v="2"/>
    <s v=""/>
    <x v="0"/>
    <x v="2"/>
    <s v="Asistentes FNA - Ejecución Novedad"/>
    <s v="Radicado: 28-4604-202203140017577 |  Número de Identificación: 52415239 |  Nombre o Razón Social: CACERES HERNANDEZ ROSANA |  País: COLOMBIA |  Departamento: BOGOTA |  Ciudad: BOGOTA |  Dirección: CL 132-A #89-50 AP 120 BLOQUE 11 |  Teléfono: 5387866 |  E-mail: nicolaspachon2@hotmail.com |  Número de Folios : 3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4604-202203140353021 | "/>
  </r>
  <r>
    <x v="6"/>
    <n v="12270922"/>
    <s v="Normal"/>
    <s v="28-2303-202202190009713"/>
    <x v="7"/>
    <d v="2022-03-31T00:00:00"/>
    <d v="2022-04-04T00:00:00"/>
    <n v="8"/>
    <s v="MARZO"/>
    <s v="NOTIFICAR"/>
    <x v="1"/>
    <x v="0"/>
    <x v="3"/>
    <s v=""/>
    <x v="1"/>
    <x v="0"/>
    <s v="Asistentes FNA"/>
    <s v="Radicado: 28-2303-202202190009713 |  Número de Identificación: 414268050 |  Nombre o Razón Social: TRUJILLO DE CAMACHO MARIA OFELIA |  País: COLOMBIA |  Departamento: BOGOTA |  Ciudad: BOGOTA |  Dirección: KM 7 VIA ARMENIA EL CAINO LAGSD DE IRAKA CASA 142 |  Teléfono: 3133670907 |  E-mail: LAMONACAMACHO@HOTMAIL.COM |  Número de Folios : 1 |  Tipología: Planilla Manual |  Estado del Proceso 1: Devuelto Planilla Manual |  Usuario Responsable: Caren Milena Prieto Espinosa |  Requiere respuesta: No |  Radicado de Correspondencia Recibida: 02-2303-202202190200696 | "/>
  </r>
  <r>
    <x v="4"/>
    <n v="12270922"/>
    <s v="Visto bueno"/>
    <s v="28-2303-202202190009713"/>
    <x v="7"/>
    <d v="2022-03-31T00:00:00"/>
    <d v="2022-04-04T00:00:00"/>
    <n v="8"/>
    <s v="MARZO"/>
    <s v="NOTIFICAR"/>
    <x v="1"/>
    <x v="0"/>
    <x v="3"/>
    <s v=""/>
    <x v="1"/>
    <x v="0"/>
    <s v="Asistentes FNA"/>
    <s v="Radicado: 28-2303-202202190009713 |  Número de Identificación: 414268050 |  Nombre o Razón Social: TRUJILLO DE CAMACHO MARIA OFELIA |  País: COLOMBIA |  Departamento: BOGOTA |  Ciudad: BOGOTA |  Dirección: KM 7 VIA ARMENIA EL CAINO LAGSD DE IRAKA CASA 142 |  Teléfono: 3133670907 |  E-mail: LAMONACAMACHO@HOTMAIL.COM |  Número de Folios : 1 |  Tipología: Planilla Manual |  Estado del Proceso 1: Devuelto Planilla Manual |  Usuario Responsable: Caren Milena Prieto Espinosa |  Requiere respuesta: No |  Radicado de Correspondencia Recibida: 02-2303-202202190200696 | "/>
  </r>
  <r>
    <x v="0"/>
    <n v="12269803"/>
    <s v="Devolución"/>
    <s v="28-2303-202203240019762"/>
    <x v="7"/>
    <d v="2022-03-31T00:00:00"/>
    <d v="2022-04-04T00:00:00"/>
    <n v="8"/>
    <s v="MARZO"/>
    <s v="NOTIFICAR"/>
    <x v="0"/>
    <x v="0"/>
    <x v="3"/>
    <s v=""/>
    <x v="0"/>
    <x v="0"/>
    <s v="Asistentes FNA"/>
    <s v="Radicado: 28-2303-202203240019762 |  Número de Identificación: 8000707831 |  Nombre o Razón Social: IMOSER INGENIEROS LIMITADA |  País: COLOMBIA |  Departamento: BOGOTA |  Ciudad: BOGOTA |  Dirección: CL 16 I # 96 H - 28 |  Teléfono: 4186086 |  E-mail: contabilidad@imoser.com |  Número de Folios : 0 |  Tipología: Novedades Aportes de Cesantias |  Requiere Modificación: Si |  Tipo de Modificación: Disponible |  Tipo de Empresa: Privada |  Tipo de Novedad: Monetaria |  Estado del Proceso 1: Ok. Aprobado |  Usuario Responsable: Breidy Julieth Quiroga Noguera |  Estado del Proceso 2: Ok. Aprobado |  Respuesta procesamiento Cobis: Correo Electronico |  Radicado de Correspondencia Recibida: 02-2303-202203240411373 | "/>
  </r>
  <r>
    <x v="5"/>
    <n v="12268754"/>
    <s v="Reasignación"/>
    <s v="28-2303-202203240019698"/>
    <x v="7"/>
    <d v="2022-03-31T00:00:00"/>
    <d v="2022-04-04T00:00:00"/>
    <n v="8"/>
    <s v="MARZO"/>
    <s v="NOTIFICAR"/>
    <x v="0"/>
    <x v="0"/>
    <x v="1"/>
    <s v=""/>
    <x v="0"/>
    <x v="1"/>
    <s v="Respuesta Asistentes FNA"/>
    <s v="Radicado: 28-2303-202203240019698 |  Número de Identificación: 55237606 |  Nombre o Razón Social: HEIDY MARGARITA TORRES MARTINEZ |  País: COLOMBIA |  Departamento: BOGOTA |  Ciudad: BOGOTA |  Dirección: CR 30   40   52 |  Teléfono: 3703273 |  E-mail: sachavilla14@gmail.com |  Número de Folios : 1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240410522 | "/>
  </r>
  <r>
    <x v="1"/>
    <n v="12285763"/>
    <s v="Reasignación"/>
    <s v="28-4902-202203250020019"/>
    <x v="8"/>
    <d v="2022-04-01T00:00:00"/>
    <d v="2022-04-04T00:00:00"/>
    <n v="6"/>
    <s v="MARZO"/>
    <s v="NOTIFICAR"/>
    <x v="0"/>
    <x v="0"/>
    <x v="1"/>
    <s v=""/>
    <x v="0"/>
    <x v="1"/>
    <s v="Respuesta Asistentes FNA"/>
    <s v="Radicado: 28-4902-202203250020019 |  Número de Identificación: 1115793849 |  Nombre o Razón Social: CUBILLOS CUBILLOS TIVISAY |  País: COLOMBIA |  Departamento: CAQUETA |  Ciudad: FLORENCIA |  Dirección: CARRERA 12 ESTE # 12C-05 |  Teléfono: 3214811236 |  E-mail: TIVISAY.CUBILLOS@ASMETSALUD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902-202203250419841 | "/>
  </r>
  <r>
    <x v="1"/>
    <n v="12281197"/>
    <s v="Reasignación"/>
    <s v="28-2303-202203240019581"/>
    <x v="8"/>
    <d v="2022-04-01T00:00:00"/>
    <d v="2022-04-04T00:00:00"/>
    <n v="6"/>
    <s v="MARZO"/>
    <s v="NOTIFICAR"/>
    <x v="0"/>
    <x v="0"/>
    <x v="1"/>
    <s v=""/>
    <x v="0"/>
    <x v="1"/>
    <s v="Respuesta Asistentes FNA"/>
    <s v="Radicado: 28-2303-202203240019581 |  Número de Identificación: 9011907508 |  Nombre o Razón Social: MAQUINAS DISPENSADORAS ECOVENDING SAS |  País: COLOMBIA |  Departamento: BOGOTA |  Ciudad: BOGOTA |  Dirección: CRA 119B 63J 09 |  Teléfono: 3024491961 |  E-mail: ingragua28@hotmail.com |  Número de Folios : 0 |  Tipología: Apoyo Empresas |  Tipo de solicitud: Validacion de reporte |  Motivo: SOLICITUD |  Medio de recepción: Buzón Apoyo Empresas |  Requiere Modificación: No |  Tipo de Modificación: No Aplica |  Tipo de Empresa: Privada |  Tipo de Novedad: Monetaria |  Estado del Proceso 1: Tramitado con Anterioridad |  Usuario Responsable: Ledher Julian Martin Sierra Cristancho |  Estado del Proceso 3: Dev. Devuelto |  Causal de Devolución PNC de Cara al Tercero 2: Inconsistencias en el Formato |  Resultado captura: Otras Solicitudes |  Respuesta procesamiento Cobis: Correo Electronico |  Requiere respuesta: Si |  Radicado de Correspondencia Recibida: 02-2303-202203240406270 | "/>
  </r>
  <r>
    <x v="1"/>
    <n v="12278245"/>
    <s v="Reasignación"/>
    <s v="28-2303-202203180019056"/>
    <x v="8"/>
    <d v="2022-04-01T00:00:00"/>
    <d v="2022-04-04T00:00:00"/>
    <n v="6"/>
    <s v="MARZO"/>
    <s v="NOTIFICAR"/>
    <x v="3"/>
    <x v="0"/>
    <x v="1"/>
    <s v=""/>
    <x v="0"/>
    <x v="1"/>
    <s v="Respuesta Asistentes FNA"/>
    <s v="Radicado: 28-2303-202203180019056 |  Número de Identificación: 8305063926 |  Nombre o Razón Social: MORANGO SA |  País: COLOMBIA |  Departamento: BOGOTA |  Ciudad: BOGOTA |  Dirección: CL 163 A # 22 - 52 |  Teléfono: 6680030 |  E-mail: mterreros@morangosa.com |  Número de Folios : 0 |  Tipología: Apoyo Empresas |  Tipo de solicitud: Validacion de reporte |  Motivo: CASO MORANGO SAS NIT 830506392 |  Medio de recepción: Buzón Apoyo Empresas |  Requiere Modificación: No |  Tipo de Modificación: No Aplica |  Tipo de Empresa: Privada |  Tipo de Novedad: Monetaria |  Estado del Proceso 1: Tramitado con Anterioridad |  Usuario Responsable: Oscar  Ramiro Reyes Prada |  Estado del Proceso 2: Ok. Aprobado |  Resultado captura: Otras Solicitudes |  Respuesta procesamiento Cobis: Correo Electronico |  Requiere respuesta: No |  Radicado de Correspondencia Recibida: 02-2303-202203180385842 | "/>
  </r>
  <r>
    <x v="1"/>
    <n v="12279177"/>
    <s v="Reasignación"/>
    <s v="28-4601-202203240019633"/>
    <x v="8"/>
    <d v="2022-04-01T00:00:00"/>
    <d v="2022-04-04T00:00:00"/>
    <n v="6"/>
    <s v="MARZO"/>
    <s v="NOTIFICAR"/>
    <x v="1"/>
    <x v="0"/>
    <x v="1"/>
    <s v=""/>
    <x v="0"/>
    <x v="1"/>
    <s v="Respuesta Asistentes FNA"/>
    <s v="Radicado: 28-4601-202203240019633 |  Número de Identificación: 8001859292 |  Nombre o Razón Social: DIRECCION NAL DEL DERECHO DE AUTOR |  País: COLOMBIA |  Departamento: BOGOTA |  Ciudad: BOGOTA |  Dirección: CL 28 # 13 A 15 PISO 17 |  Teléfono: 3418177 |  E-mail: N/A |  Número de Folios : 7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240408232 | "/>
  </r>
  <r>
    <x v="5"/>
    <n v="12279084"/>
    <s v="Normal"/>
    <s v="28-2303-202203250019944"/>
    <x v="8"/>
    <d v="2022-04-01T00:00:00"/>
    <d v="2022-04-04T00:00:00"/>
    <n v="6"/>
    <s v="MARZO"/>
    <s v="NOTIFICAR"/>
    <x v="0"/>
    <x v="0"/>
    <x v="1"/>
    <s v=""/>
    <x v="0"/>
    <x v="1"/>
    <s v="Respuesta Asistentes FNA"/>
    <s v="Radicado: 28-2303-202203250019944 |  Número de Identificación: 8911800914  |  Nombre o Razón Social: HOSP SAN FRANCISCO DE ASIS -EMPRESA SOCIAL DEL ESTADO- |  País: COLOMBIA |  Departamento: HUILA |  Ciudad: NEIVA |  Dirección: CL 12 6-40 |  Teléfono: 0009887840 |  E-mail: agodoy@fna.gov.co |  Número de Folios : 1 |  Tipología: Cargue de Aportes Entidades Publicas Y Privadas y/o Modificacion de Aportes o Disponible |  Requiere Modificación: No |  Tipo de Modificación: No Aplica |  Tipo de Empresa: Publica |  Tipo de Novedad: No Monetaria |  Estado del Proceso 1: Ok. Aprobado |  Usuario Responsable: Breidy Julieth Quiroga Noguera |  Estado del Proceso 3: Dev. Devuelto |  Causal de Devolución PNC de Cara al Tercero 2: Documentación Incompleta |  Respuesta procesamiento Cobis: Correo Electronico |  Radicado de Correspondencia Recibida: 02-2303-202203250417413 | "/>
  </r>
  <r>
    <x v="5"/>
    <n v="12280291"/>
    <s v="Reasignación"/>
    <s v="28-4703-202203250019930"/>
    <x v="8"/>
    <d v="2022-04-01T00:00:00"/>
    <d v="2022-04-04T00:00:00"/>
    <n v="6"/>
    <s v="MARZO"/>
    <s v="NOTIFICAR"/>
    <x v="1"/>
    <x v="0"/>
    <x v="1"/>
    <s v=""/>
    <x v="0"/>
    <x v="1"/>
    <s v="Respuesta Asistentes FNA"/>
    <s v="Radicado: 28-4703-202203250019930 |  Número de Identificación: 24333442 |  Nombre o Razón Social: MONTOYA AGUDELO MINI JOHANA |  País: COLOMBIA |  Departamento: CALDAS |  Ciudad: MANIZALES |  Dirección: CR 24 #15-37 |  Teléfono: 3146347525 |  E-mail: johanamontoyaagudelo54@gmail.com |  Número de Folios : 2 |  Tipología: Novedades Aportes de Cesantias |  Requiere Modificación: No |  Tipo de Modificación: No Aplica |  Tipo de Empresa: Privada |  Tipo de Novedad: No Monetaria |  Estado del Proceso 1: Dev. Devuelto |  Causal de Devolución PNC de Cara al Cliente: Documentación Incompleta o Inconsistente |  Usuario Responsable: Oscar Ramiro Reyes Prada |  Respuesta procesamiento Cobis: Correo Electronico |  Radicado de Correspondencia Recibida: 02-4703-202203250415958 | "/>
  </r>
  <r>
    <x v="2"/>
    <n v="12213622"/>
    <s v="Normal"/>
    <s v="28-2303-202203170018372"/>
    <x v="8"/>
    <d v="2022-04-01T00:00:00"/>
    <d v="2022-04-04T00:00:00"/>
    <n v="6"/>
    <s v="MARZO"/>
    <s v="NOTIFICAR"/>
    <x v="2"/>
    <x v="0"/>
    <x v="2"/>
    <s v=""/>
    <x v="0"/>
    <x v="2"/>
    <s v="Asistentes FNA - Ejecución Novedad"/>
    <s v="Radicado: 28-2303-202203170018372 |  Número de Identificación: 9004075082 |  Nombre o Razón Social: WAP INGENIERIA SAS |  País: COLOMBIA |  Departamento: ANTIOQUIA |  Ciudad: MEDELLIN |  Dirección: CL 58 A # 24 - 16 |  Teléfono: 2546406 |  E-mail: wapingenieria1@gmail.com |  Número de Folios : 0 |  Tipología: Apoyo Empresas |  Tipo de solicitud: Verificación de archivo |  Motivo: VERIFICAR PAGO DE CESANTÍAS DEL EMPLEADO  |  Medio de recepción: Buzón Apoyo Empresas |  Requiere Modificación: No |  Tipo de Modificación: No Aplica |  Tipo de Empresa: Privada |  Tipo de Novedad: No Monetaria |  Estado del Proceso 1: Ok. Aprobado |  Usuario Responsable: Breidy Julieth Quiroga Noguera |  Resultado captura: Otras Solicitudes |  Respuesta procesamiento Cobis: Correo Electronico |  Requiere respuesta: No |  Radicado de Correspondencia Recibida: 02-2303-202203170370057 | "/>
  </r>
  <r>
    <x v="2"/>
    <n v="12283690"/>
    <s v="Normal"/>
    <s v="28-2303-202203250020029"/>
    <x v="8"/>
    <d v="2022-04-01T00:00:00"/>
    <d v="2022-04-04T00:00:00"/>
    <n v="6"/>
    <s v="MARZO"/>
    <s v="NOTIFICAR"/>
    <x v="2"/>
    <x v="0"/>
    <x v="2"/>
    <s v=""/>
    <x v="0"/>
    <x v="2"/>
    <s v="Asistentes FNA - Ejecución Novedad"/>
    <s v="Radicado: 28-2303-202203250020029 |  Número de Identificación: 1007328981 |  Nombre o Razón Social: SERGIO ALEXANDER LLANES PEREZ |  País: COLOMBIA |  Departamento: BOGOTA |  Ciudad: BOGOTA |  Dirección: CR 113 N # 18 A - 97 |  Teléfono: 3227862047 |  E-mail: sergioaperez985@g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50420506 | "/>
  </r>
  <r>
    <x v="0"/>
    <n v="12292646"/>
    <s v="Normal"/>
    <s v="28-2303-202203280020156"/>
    <x v="9"/>
    <d v="2022-04-04T00:00:00"/>
    <d v="2022-04-04T00:00:00"/>
    <n v="6"/>
    <s v="MARZO"/>
    <s v="NOTIFICAR"/>
    <x v="0"/>
    <x v="0"/>
    <x v="4"/>
    <s v=""/>
    <x v="1"/>
    <x v="4"/>
    <s v="Asistentes FNA - Elaboración Orden de Pago"/>
    <s v="Radicado: 28-2303-202203280020156 |  Número de Identificación: 9007272629 |  Nombre o Razón Social: ASOCIADOS ZR SAS |  País: COLOMBIA |  Departamento: CUNDINAMARCA |  Ciudad: FACATATIVA |  Dirección: CR 6 # 2 - 66 - 74 BRR CHAPINERO |  Teléfono: 4201749 |  E-mail: rrhhesfera@hotmail.com |  Número de Folios : 0 |  Tipología: Devolucion de Aportes |  Requiere Modificación: No |  Tipo de Modificación: No Aplica |  Tipo de Empresa: Privada |  Tipo de Novedad: Monetaria |  Estado del Proceso 1: Ok. Aprobado |  Requiere Cargue/Novedad: Si |  Respuesta procesamiento Cobis: Correo Electronico |  Radicado de Correspondencia Recibida: 02-2303-202203280426592 | "/>
  </r>
  <r>
    <x v="1"/>
    <n v="12297589"/>
    <s v="Reasignación"/>
    <s v="28-2303-202203280020248"/>
    <x v="9"/>
    <d v="2022-04-04T00:00:00"/>
    <d v="2022-04-04T00:00:00"/>
    <n v="6"/>
    <s v="MARZO"/>
    <s v="NOTIFICAR"/>
    <x v="0"/>
    <x v="0"/>
    <x v="1"/>
    <s v=""/>
    <x v="0"/>
    <x v="1"/>
    <s v="Respuesta Asistentes FNA"/>
    <s v="Radicado: 28-2303-202203280020248 |  Número de Identificación: 8000640078 |  Nombre o Razón Social: ASOCIACION DE HOGARES DE PADRES DE BIENESTAR EL CASTILLO |  País: COLOMBIA |  Departamento: BOGOTA |  Ciudad: BOGOTA |  Dirección: CL 8 # 3 - 61 |  Teléfono: 0 |  E-mail: asoccastillo@hotmail.com |  Número de Folios : 0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puesta procesamiento Cobis: Correo Electronico |  Radicado de Correspondencia Recibida: 02-2303-202203280429946 | "/>
  </r>
  <r>
    <x v="0"/>
    <n v="12297509"/>
    <s v="Devolución"/>
    <s v="28-2303-202203280020244"/>
    <x v="9"/>
    <d v="2022-04-04T00:00:00"/>
    <d v="2022-04-04T00:00:00"/>
    <n v="6"/>
    <s v="MARZO"/>
    <s v="NOTIFICAR"/>
    <x v="0"/>
    <x v="0"/>
    <x v="3"/>
    <s v=""/>
    <x v="0"/>
    <x v="0"/>
    <s v="Asistentes FNA"/>
    <s v="Radicado: 28-2303-202203280020244 |  Número de Identificación: 1144029620 |  Nombre o Razón Social: CARLOS ANDRES GALLON |  País: COLOMBIA |  Departamento: VALLE DEL CAUCA |  Ciudad: CALI |  Dirección: CR 94 A # 48 - 65 TR 1 APTO 401 |  Teléfono: 3002706749 |  E-mail: CARLOSGALLON1989@HOTMAIL.COM |  Número de Folios : 0 |  Tipología: Novedades Aportes de Cesantias |  Requiere Modificación: No |  Tipo de Modificación: No Aplica |  Tipo de Empresa: Privada |  Tipo de Novedad: No Monetaria |  Estado del Proceso 1: Dev. Devuelto |  Causal de Devolución PNC de Cara al Cliente: Documentación Incompleta o Inconsistente |  Usuario Responsable: Breidy Julieth Quiroga Noguera |  Respuesta procesamiento Cobis: Correo Electronico |  Radicado de Correspondencia Recibida: 02-2303-202203280429892 | "/>
  </r>
  <r>
    <x v="5"/>
    <n v="12291949"/>
    <s v="Reasignación"/>
    <s v="28-2303-202203280020142"/>
    <x v="9"/>
    <d v="2022-04-04T00:00:00"/>
    <d v="2022-04-04T00:00:00"/>
    <n v="6"/>
    <s v="MARZO"/>
    <s v="NOTIFICAR"/>
    <x v="0"/>
    <x v="0"/>
    <x v="1"/>
    <s v=""/>
    <x v="0"/>
    <x v="1"/>
    <s v="Respuesta Asistentes FNA"/>
    <s v="Radicado: 28-2303-202203280020142 |  Número de Identificación: 8999991031 |  Nombre o Razón Social: SENADO DE LA REPUBLICA |  País: COLOMBIA |  Departamento: BOGOTA |  Ciudad: BOGOTA |  Dirección: CR 7 #8-68 |  Teléfono: 3826211 |  E-mail: paulo.rincon@senado.gov.co |  Número de Folios : 1 |  Tipología: Novedades Aportes de Cesantias |  Requiere Modificación: No |  Tipo de Modificación: No Aplica |  Tipo de Empresa: Publica |  Tipo de Novedad: Monetaria Especial |  Estado del Proceso 1: Ok. Aprobado |  Usuario Responsable: Breidy Julieth Quiroga Noguera |  Estado del Proceso 3: Ok. Aprobado |  Respuesta procesamiento Cobis: Correo Electronico |  Radicado de Correspondencia Recibida: 02-2303-202203280426013 | "/>
  </r>
  <r>
    <x v="5"/>
    <n v="12301019"/>
    <s v="Reasignación"/>
    <s v="28-2303-202203280020309"/>
    <x v="9"/>
    <d v="2022-04-04T00:00:00"/>
    <d v="2022-04-04T00:00:00"/>
    <n v="6"/>
    <s v="MARZO"/>
    <s v="NOTIFICAR"/>
    <x v="0"/>
    <x v="0"/>
    <x v="1"/>
    <s v=""/>
    <x v="0"/>
    <x v="1"/>
    <s v="Respuesta Asistentes FNA"/>
    <s v="Radicado: 28-2303-202203280020309 |  Número de Identificación: 9003980051 |  Nombre o Razón Social: 48 DIAS SAS |  País: COLOMBIA |  Departamento: BOGOTA |  Ciudad: BOGOTA |  Dirección: 0 |  Teléfono: 03015408924  |  E-mail: julioalbertopastor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280432294 | "/>
  </r>
  <r>
    <x v="5"/>
    <n v="12301331"/>
    <s v="Reasignación"/>
    <s v="28-2303-202203280020345"/>
    <x v="9"/>
    <d v="2022-04-04T00:00:00"/>
    <d v="2022-04-04T00:00:00"/>
    <n v="6"/>
    <s v="MARZO"/>
    <s v="NOTIFICAR"/>
    <x v="1"/>
    <x v="0"/>
    <x v="1"/>
    <s v=""/>
    <x v="0"/>
    <x v="1"/>
    <s v="Respuesta Asistentes FNA"/>
    <s v="Radicado: 28-2303-202203280020345 |  Número de Identificación: 1019076784 |  Nombre o Razón Social: FERNEY ANDRES ROJAS HERNANDEZ |  País: COLOMBIA |  Departamento: BOGOTA |  Ciudad: BOGOTA |  Dirección: CL 127F #94-88 |  Teléfono: 3144868406 |  E-mail: farh921123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80432521 | "/>
  </r>
  <r>
    <x v="5"/>
    <n v="12298730"/>
    <s v="Reasignación"/>
    <s v="28-2303-202203260020073"/>
    <x v="9"/>
    <d v="2022-04-04T00:00:00"/>
    <d v="2022-04-04T00:00:00"/>
    <n v="6"/>
    <s v="MARZO"/>
    <s v="NOTIFICAR"/>
    <x v="0"/>
    <x v="0"/>
    <x v="1"/>
    <s v=""/>
    <x v="0"/>
    <x v="1"/>
    <s v="Respuesta Asistentes FNA"/>
    <s v="Radicado: 28-2303-202203260020073 |  Número de Identificación: 8300693612 |  Nombre o Razón Social: EDIFICIO PARQUE MINERVA PROPIEDAD HORIZONTAL |  País: COLOMBIA |  Departamento: BOGOTA |  Ciudad: BOGOTA |  Dirección: CL 69 # 5 20 |  Teléfono: 3124481741 |  E-mail: administracion@habitacora.com.co |  Número de Folios : 0 |  Tipología: Apoyo Empresas |  Tipo de solicitud: Validacion de reporte |  Motivo: Fwd: Traslado de dineros |  Medio de recepción: Buzón Apoyo Empresas |  Requiere Modificación: No |  Tipo de Modificación: No Aplica |  Tipo de Empresa: Privada |  Tipo de Novedad: No Monetaria |  Estado del Proceso 1: Ok. Aprobado |  Usuario Responsable: Breidy Julieth Quiroga Noguera |  Estado del Proceso 3: Ok. Aprobado |  Resultado captura: Otras Solicitudes |  Respuesta procesamiento Cobis: Correo Electronico |  Requiere respuesta: No |  Radicado de Correspondencia Recibida: 02-2303-202203260421854 | "/>
  </r>
  <r>
    <x v="5"/>
    <n v="12300430"/>
    <s v="Reasignación"/>
    <s v="28-2303-202203250020011"/>
    <x v="9"/>
    <d v="2022-04-04T00:00:00"/>
    <d v="2022-04-04T00:00:00"/>
    <n v="6"/>
    <s v="MARZO"/>
    <s v="NOTIFICAR"/>
    <x v="1"/>
    <x v="0"/>
    <x v="1"/>
    <s v=""/>
    <x v="0"/>
    <x v="1"/>
    <s v="Respuesta Asistentes FNA"/>
    <s v="Radicado: 28-2303-202203250020011 |  Número de Identificación: 9014040391 |  Nombre o Razón Social: CONSORCIO GUAVIARE2506 |  País: COLOMBIA |  Departamento: META |  Ciudad: VILLAVICENCIO |  Dirección: CL 15 # 40 - 01 |  Teléfono: 0 |  E-mail: JURIDICA@PRISMADAV.COM |  Número de Folios : 0 |  Tipología: Planilla Manual |  Requiere Modificación: No |  Tipo de Modificación: No Aplica |  Tipo de Empresa: Privada |  Tipo de Novedad: No Monetaria |  Estado del Proceso 1: Ok. Aprobado |  Usuario Responsable: Ledher Julian Martin Sierra Cristancho |  Estado del Proceso 3: Dev. Devuelto |  Causal de Devolución PNC de Cara al Tercero 2: Documentación Incompleta |  Respuesta procesamiento Cobis: Correo Electronico |  Requiere respuesta: No |  Radicado de Correspondencia Recibida: 02-2303-202203250419650 | "/>
  </r>
  <r>
    <x v="2"/>
    <n v="12293628"/>
    <s v="Normal"/>
    <s v="28-2303-202203280020183"/>
    <x v="9"/>
    <d v="2022-04-04T00:00:00"/>
    <d v="2022-04-04T00:00:00"/>
    <n v="6"/>
    <s v="MARZO"/>
    <s v="NOTIFICAR"/>
    <x v="2"/>
    <x v="0"/>
    <x v="2"/>
    <s v=""/>
    <x v="0"/>
    <x v="2"/>
    <s v="Asistentes FNA - Ejecución Novedad"/>
    <s v="Radicado: 28-2303-202203280020183 |  Número de Identificación: 9004056225 |  Nombre o Razón Social: VIOBTRANS MP SAS VIOBTRANS SAS |  País: COLOMBIA |  Departamento: BOGOTA |  Ciudad: BOGOTA |  Dirección: CR 68 D # 40 - 53 SUR |  Teléfono: 4664522 |  E-mail: jrptransporteylogistica@g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80427392 | "/>
  </r>
  <r>
    <x v="0"/>
    <n v="12307831"/>
    <s v="Normal"/>
    <s v="28-2303-202203290020483"/>
    <x v="10"/>
    <d v="2022-04-05T00:00:00"/>
    <d v="2022-04-04T00:00:00"/>
    <n v="5"/>
    <s v="MARZO"/>
    <s v="NOTIFICAR"/>
    <x v="0"/>
    <x v="0"/>
    <x v="3"/>
    <s v=""/>
    <x v="1"/>
    <x v="0"/>
    <s v="Asistentes FNA"/>
    <s v="Radicado: 28-2303-202203290020483 |  Número de Identificación: 9003572960 |  Nombre o Razón Social: SOMHER S.A.S. IPS |  País: COLOMBIA |  Departamento: BOGOTA |  Ciudad: BOGOTA |  Dirección: CL 91 19C 55 |  Teléfono: 0 |  E-mail: solproeu@hotmail.com |  Número de Folios : 0 |  Tipología: Devolucion de Aportes |  Radicado de Correspondencia Recibida: 02-2303-202203290437001 | "/>
  </r>
  <r>
    <x v="6"/>
    <n v="12310324"/>
    <s v="Normal"/>
    <s v="28-2303-202203290020525"/>
    <x v="10"/>
    <d v="2022-04-05T00:00:00"/>
    <d v="2022-04-04T00:00:00"/>
    <n v="5"/>
    <s v="MARZO"/>
    <s v="NOTIFICAR"/>
    <x v="1"/>
    <x v="0"/>
    <x v="3"/>
    <s v=""/>
    <x v="1"/>
    <x v="0"/>
    <s v="Asistentes FNA"/>
    <s v="Radicado: 28-2303-202203290020525 |  Número de Identificación: 9012848446 |  Nombre o Razón Social: PERFILES Y SOLUCIONES TECNOLOGICAS SAS |  País: COLOMBIA |  Departamento: BOGOTA |  Ciudad: BOGOTA |  Dirección: 0 |  Teléfono: 0 |  E-mail: edwin.ardilac@proteccion.com.co |  Número de Folios : 0 |  Tipología: Devolucion de Aportes |  Radicado de Correspondencia Recibida: 02-2303-202203290438561 | "/>
  </r>
  <r>
    <x v="0"/>
    <n v="12311658"/>
    <s v="Normal"/>
    <s v="28-2303-202203290020551"/>
    <x v="10"/>
    <d v="2022-04-05T00:00:00"/>
    <d v="2022-04-04T00:00:00"/>
    <n v="5"/>
    <s v="MARZO"/>
    <s v="NOTIFICAR"/>
    <x v="0"/>
    <x v="0"/>
    <x v="3"/>
    <s v=""/>
    <x v="1"/>
    <x v="0"/>
    <s v="Asistentes FNA"/>
    <s v="Radicado: 28-2303-202203290020551 |  Número de Identificación: 77045893 |  Nombre o Razón Social: LOPEZ FREDY |  País: COLOMBIA |  Departamento: BOGOTA |  Ciudad: BOGOTA |  Dirección: CARRERA 20 # 42 A 25 SUR SANTA LUCIA |  Teléfono: 3165628420 |  E-mail: sgsstaseoliquidos@gmail.com |  Número de Folios : 0 |  Tipología: Devolucion de Aportes |  Radicado de Correspondencia Recibida: 02-2303-202203290439457 | "/>
  </r>
  <r>
    <x v="6"/>
    <n v="12311884"/>
    <s v="Normal"/>
    <s v="28-2303-202203280020357"/>
    <x v="10"/>
    <d v="2022-04-05T00:00:00"/>
    <d v="2022-04-04T00:00:00"/>
    <n v="5"/>
    <s v="MARZO"/>
    <s v="NOTIFICAR"/>
    <x v="1"/>
    <x v="0"/>
    <x v="3"/>
    <s v=""/>
    <x v="1"/>
    <x v="0"/>
    <s v="Asistentes FNA"/>
    <s v="Radicado: 28-2303-202203280020357 |  Número de Identificación: 373962041 |  Nombre o Razón Social: GAMEZ RODRIGUEZ LEYDI  |  País: COLOMBIA |  Departamento: SANTANDER |  Ciudad: BUCARAMANGA |  Dirección: CL 22 16 28 BRR NUEVA GRANADA |  Teléfono: 3184937994 |  E-mail: LEIDY1984GAMEZ@GMAIL.COM |  Número de Folios : 0 |  Tipología: Apoyo Empresas |  Tipo de solicitud: Validacion de reporte |  Motivo: SOLICITUD |  Medio de recepción: Buzón Apoyo Empresas |  Estado del Proceso 1: Ok. Aprobado |  Resultado captura: Otras Solicitudes |  Requiere respuesta: No |  Radicado de Correspondencia Recibida: 02-2303-202203280432621 | "/>
  </r>
  <r>
    <x v="0"/>
    <n v="12314019"/>
    <s v="Normal"/>
    <s v="28-2303-202203290020585"/>
    <x v="10"/>
    <d v="2022-04-05T00:00:00"/>
    <d v="2022-04-04T00:00:00"/>
    <n v="5"/>
    <s v="MARZO"/>
    <s v="NOTIFICAR"/>
    <x v="0"/>
    <x v="0"/>
    <x v="3"/>
    <s v=""/>
    <x v="1"/>
    <x v="0"/>
    <s v="Asistentes FNA"/>
    <s v="Radicado: 28-2303-202203290020585 |  Número de Identificación: 77045893 |  Nombre o Razón Social: LOPEZ FREDY |  País: COLOMBIA |  Departamento: BOGOTA |  Ciudad: BOGOTA |  Dirección: CARRERA 20 # 42 A 25 SUR SANTA LUCIA |  Teléfono: 3165628420 |  E-mail: sgsstaseoliquidos@gmail.com |  Número de Folios : 0 |  Tipología: Devolucion de Aportes |  Radicado de Correspondencia Recibida: 02-2303-202203290440784 | "/>
  </r>
  <r>
    <x v="6"/>
    <n v="12314490"/>
    <s v="Normal"/>
    <s v="28-2303-202203300020623"/>
    <x v="10"/>
    <d v="2022-04-05T00:00:00"/>
    <d v="2022-04-04T00:00:00"/>
    <n v="5"/>
    <s v="MARZO"/>
    <s v="NOTIFICAR"/>
    <x v="1"/>
    <x v="0"/>
    <x v="3"/>
    <s v=""/>
    <x v="1"/>
    <x v="0"/>
    <s v="Asistentes FNA"/>
    <s v="Radicado: 28-2303-202203300020623 |  Número de Identificación: 804206969 |  Nombre o Razón Social: CMC INGENIEROS |  País: COLOMBIA |  Departamento: BOGOTA |  Ciudad: BOGOTA |  Dirección: CR 17 # 103 - 43 AP 201 |  Teléfono: 3158313348 |  E-mail: administracion@cmcingenieros.com |  Número de Folios : 0 |  Tipología: Devolucion de Aportes |  Radicado de Correspondencia Recibida: 02-2303-202203300441051 | "/>
  </r>
  <r>
    <x v="1"/>
    <n v="12302152"/>
    <s v="Reasignación"/>
    <s v="28-2303-202203280020350"/>
    <x v="10"/>
    <d v="2022-04-05T00:00:00"/>
    <d v="2022-04-04T00:00:00"/>
    <n v="5"/>
    <s v="MARZO"/>
    <s v="NOTIFICAR"/>
    <x v="4"/>
    <x v="0"/>
    <x v="1"/>
    <s v=""/>
    <x v="0"/>
    <x v="1"/>
    <s v="Respuesta Asistentes FNA"/>
    <s v="Radicado: 28-2303-202203280020350 |  Número de Identificación: 8060084391 |  Nombre o Razón Social: CLINICA CARTAGENA DEL MAR SAS |  País: COLOMBIA |  Departamento: BOLIVAR |  Ciudad: CARTAGENA |  Dirección: CL 30 #20 71 PIC DE POPA |  Teléfono: 6583893 |  E-mail: NOTIENE@HOTMAIL.COM |  Número de Folios : 1 |  Tipología: Planilla Manual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equiere respuesta: No |  Radicado de Correspondencia Recibida: 02-2303-202203280432565 | "/>
  </r>
  <r>
    <x v="2"/>
    <n v="12301789"/>
    <s v="Normal"/>
    <s v="28-2303-202203290020375"/>
    <x v="10"/>
    <d v="2022-04-05T00:00:00"/>
    <d v="2022-04-04T00:00:00"/>
    <n v="5"/>
    <s v="MARZO"/>
    <s v="NOTIFICAR"/>
    <x v="0"/>
    <x v="0"/>
    <x v="2"/>
    <s v=""/>
    <x v="0"/>
    <x v="2"/>
    <s v="Asistentes FNA - Ejecución Novedad"/>
    <s v="Radicado: 28-2303-202203290020375 |  Número de Identificación: 900880506 |  Nombre o Razón Social: EUROFERT COLOMBIANA SAS |  País: COLOMBIA |  Departamento: BOGOTA |  Ciudad: BOGOTA |  Dirección: 0 |  Teléfono: 8928025 |  E-mail: recepcion@eurofertcolombia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290432796 | "/>
  </r>
  <r>
    <x v="0"/>
    <n v="12307238"/>
    <s v="Reasignación"/>
    <s v="28-2303-202203290020472"/>
    <x v="10"/>
    <d v="2022-04-05T00:00:00"/>
    <d v="2022-04-04T00:00:00"/>
    <n v="5"/>
    <s v="MARZO"/>
    <s v="NOTIFICAR"/>
    <x v="0"/>
    <x v="0"/>
    <x v="3"/>
    <s v=""/>
    <x v="0"/>
    <x v="0"/>
    <s v="Asistentes FNA"/>
    <s v="Radicado: 28-2303-202203290020472 |  Número de Identificación: 36067327 |  Nombre o Razón Social: ORTIZ CAVIEDES YULIETH MILENA |  País: COLOMBIA |  Departamento: HUILA |  Ciudad: NEIVA |  Dirección: CL 29 # 1 B - W 16 |  Teléfono: 3185937743 |  E-mail: MILENA2118@HOTMAIL.COM |  Número de Folios : 0 |  Tipología: Novedades Aportes de Cesantias |  Radicado de Correspondencia Recibida: 02-2303-202203290436569 | "/>
  </r>
  <r>
    <x v="6"/>
    <n v="12138759"/>
    <s v="Devolución"/>
    <s v="28-2303-202203090016117"/>
    <x v="10"/>
    <d v="2022-04-05T00:00:00"/>
    <d v="2022-04-04T00:00:00"/>
    <n v="5"/>
    <s v="MARZO"/>
    <s v="NOTIFICAR"/>
    <x v="1"/>
    <x v="0"/>
    <x v="3"/>
    <s v=""/>
    <x v="0"/>
    <x v="0"/>
    <s v="Asistentes FNA"/>
    <s v="Radicado: 28-2303-202203090016117 |  Número de Identificación: 11053657392 |  Nombre o Razón Social: JOYERIA TOPACIO |  País: COLOMBIA |  Departamento: GUAVIARE |  Ciudad: SAN JOSE DEL GUAVIARE |  Dirección: CL 8 # 22 - 18 |  Teléfono: 3124785478 |  E-mail: ferroguaviare20@gmail.com |  Número de Folios : 0 |  Tipología: Novedades Aportes de Cesantias |  Requiere Modificación: Si |  Tipo de Modificación: Disponible |  Tipo de Empresa: Privada |  Tipo de Novedad: Monetaria |  Estado del Proceso 1: Ok. Aprobado |  Usuario Responsable: Jhonier James Leon Guzman |  Estado del Proceso 2: Ok. Aprobado |  Respuesta procesamiento Cobis: Correo Electronico |  Radicado de Correspondencia Recibida: 02-2303-202203090321266 | "/>
  </r>
  <r>
    <x v="2"/>
    <n v="12311913"/>
    <s v="Normal"/>
    <s v="28-2303-202203290020554"/>
    <x v="10"/>
    <d v="2022-04-05T00:00:00"/>
    <d v="2022-04-04T00:00:00"/>
    <n v="5"/>
    <s v="MARZO"/>
    <s v="NOTIFICAR"/>
    <x v="1"/>
    <x v="0"/>
    <x v="2"/>
    <s v=""/>
    <x v="0"/>
    <x v="2"/>
    <s v="Asistentes FNA - Ejecución Novedad"/>
    <s v="Radicado: 28-2303-202203290020554 |  Número de Identificación: 8002474385 |  Nombre o Razón Social: DISLACTEOS LOS ALPES SAS |  País: COLOMBIA |  Departamento: BOGOTA |  Ciudad: BOGOTA |  Dirección: CL 19A No.96C 24 |  Teléfono: 3102254681 |  E-mail: los_alpes_ltda@yahoo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290439665 | "/>
  </r>
  <r>
    <x v="3"/>
    <n v="12310514"/>
    <s v="Normal"/>
    <s v="28-2303-202203290020529"/>
    <x v="10"/>
    <d v="2022-04-05T00:00:00"/>
    <d v="2022-04-04T00:00:00"/>
    <n v="5"/>
    <s v="MARZO"/>
    <s v="NOTIFICAR"/>
    <x v="0"/>
    <x v="0"/>
    <x v="3"/>
    <s v=""/>
    <x v="0"/>
    <x v="0"/>
    <s v="Asistentes FNA"/>
    <s v="Radicado: 28-2303-202203290020529 |  Número de Identificación: 89999906198 |  Nombre o Razón Social: UNIDAD ADMINISTRATIVA ESP CUERPO OFICIAL BOMBEROS |  País: COLOMBIA |  Departamento: BOGOTA |  Ciudad: BOGOTA |  Dirección: CALLE 20 # 68 a 06 |  Teléfono: 3822500 |  E-mail: lballesteros@bomberosbogota.gov.co |  Número de Folios : 1 |  Tipología: Novedades Aportes de Cesantias |  Radicado de Correspondencia Recibida: 02-2303-202203290438711 | "/>
  </r>
  <r>
    <x v="6"/>
    <n v="12305012"/>
    <s v="Devolución"/>
    <s v="28-2303-202203290020445"/>
    <x v="10"/>
    <d v="2022-04-05T00:00:00"/>
    <d v="2022-04-04T00:00:00"/>
    <n v="5"/>
    <s v="MARZO"/>
    <s v="NOTIFICAR"/>
    <x v="1"/>
    <x v="0"/>
    <x v="5"/>
    <s v=""/>
    <x v="0"/>
    <x v="5"/>
    <s v="Asistentes FNA - Elaboración Novedad"/>
    <s v="Radicado: 28-2303-202203290020445 |  Número de Identificación: 9003849971 |  Nombre o Razón Social: DIRECCION EJECUTIVA DE LA JUSTICIA PENAL MILITAR MINDEFENSA |  País: COLOMBIA |  Departamento: BOGOTA |  Ciudad: BOGOTA |  Dirección: CR 10 # 26 - 71 EDF RES TEQUENDAMA TORRE SUR PISO 9 |  Teléfono: 3426299 |  E-mail: henry.meza@justiciamilitar.gov.co |  Número de Folios : 1 |  Tipología: Cargue de Aportes Entidades Publicas Y Privadas y/o Modificacion de Aportes o Disponible |  Requiere Modificación: No |  Tipo de Modificación: No Aplica |  Tipo de Empresa: Privada |  Tipo de Novedad: Autorizacion TVA |  Estado del Proceso 1: Ok. Aprobado |  Usuario Responsable: Jhonier James Leon Guzman |  Respuesta procesamiento Cobis: Correo Electronico |  Radicado de Correspondencia Recibida: 02-2303-202203290435295 | "/>
  </r>
  <r>
    <x v="1"/>
    <n v="12310514"/>
    <s v="Visto bueno"/>
    <s v="28-2303-202203290020529"/>
    <x v="10"/>
    <d v="2022-04-05T00:00:00"/>
    <d v="2022-04-04T00:00:00"/>
    <n v="5"/>
    <s v="MARZO"/>
    <s v="NOTIFICAR"/>
    <x v="0"/>
    <x v="0"/>
    <x v="3"/>
    <s v=""/>
    <x v="0"/>
    <x v="0"/>
    <s v="Asistentes FNA"/>
    <s v="Radicado: 28-2303-202203290020529 |  Número de Identificación: 89999906198 |  Nombre o Razón Social: UNIDAD ADMINISTRATIVA ESP CUERPO OFICIAL BOMBEROS |  País: COLOMBIA |  Departamento: BOGOTA |  Ciudad: BOGOTA |  Dirección: CALLE 20 # 68 a 06 |  Teléfono: 3822500 |  E-mail: lballesteros@bomberosbogota.gov.co |  Número de Folios : 1 |  Tipología: Novedades Aportes de Cesantias |  Radicado de Correspondencia Recibida: 02-2303-202203290438711 | "/>
  </r>
  <r>
    <x v="2"/>
    <n v="12313829"/>
    <s v="Normal"/>
    <s v="28-4803-202203290020497"/>
    <x v="10"/>
    <d v="2022-04-05T00:00:00"/>
    <d v="2022-04-04T00:00:00"/>
    <n v="5"/>
    <s v="MARZO"/>
    <s v="NOTIFICAR"/>
    <x v="1"/>
    <x v="0"/>
    <x v="2"/>
    <s v=""/>
    <x v="0"/>
    <x v="2"/>
    <s v="Asistentes FNA - Ejecución Novedad"/>
    <s v="Radicado: 28-4803-202203290020497 |  Número de Identificación: 35464663 |  Nombre o Razón Social: ROJAS ROJAS CARMENZA |  País: COLOMBIA |  Departamento: NARIÑO |  Ciudad: PASTO |  Dirección: KR 40 16 21 BR SANTA ANA BR SA |  Teléfono: 0 |  E-mail: N/A |  Número de Folios : 3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Fisico |  Radicado de Correspondencia Recibida: 02-4803-202203290437525 | "/>
  </r>
  <r>
    <x v="2"/>
    <n v="12313143"/>
    <s v="Normal"/>
    <s v="28-4604-202203290020402"/>
    <x v="10"/>
    <d v="2022-04-05T00:00:00"/>
    <d v="2022-04-04T00:00:00"/>
    <n v="5"/>
    <s v="MARZO"/>
    <s v="NOTIFICAR"/>
    <x v="1"/>
    <x v="0"/>
    <x v="2"/>
    <s v=""/>
    <x v="0"/>
    <x v="2"/>
    <s v="Asistentes FNA - Ejecución Novedad"/>
    <s v="Radicado: 28-4604-202203290020402 |  Número de Identificación: 11205908 |  Nombre o Razón Social: PENA MALDONADO JUAN MAURICIO |  País: COLOMBIA |  Departamento: BOGOTA |  Ciudad: BOGOTA |  Dirección: DG 81 I #72 A 18 |  Teléfono: 5357740 |  E-mail: N/A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604-202203290433927 | "/>
  </r>
  <r>
    <x v="5"/>
    <n v="12301843"/>
    <s v="Reasignación"/>
    <s v="28-4702-202203280020209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702-202203280020209 |  Número de Identificación: 1100366 |  Nombre o Razón Social: JOSE INOCENCIO MONTANEZ MARTINEZ |  País: COLOMBIA |  Departamento: BOYACA |  Ciudad: OICATA |  Dirección: VDA FORANTIVA |  Teléfono: 3138948534 |  E-mail: n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702-202203280428691 | "/>
  </r>
  <r>
    <x v="5"/>
    <n v="12303513"/>
    <s v="Reasignación"/>
    <s v="28-2303-202203290020410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90020410 |  Número de Identificación: 1067904267 |  Nombre o Razón Social: KAYLA TATIANA RUIZ FUENTES |  País: COLOMBIA |  Departamento: CORDOBA |  Ciudad: MONTERIA |  Dirección: MZ 7 LT 18 |  Teléfono: 3207580672 |  E-mail: ti-s25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90434170 | "/>
  </r>
  <r>
    <x v="5"/>
    <n v="12303883"/>
    <s v="Reasignación"/>
    <s v="28-4603-202203280020223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603-202203280020223 |  Número de Identificación: 1022994767 |  Nombre o Razón Social: ESTEFANY HELENA POLO BALLEN |  País: COLOMBIA |  Departamento: BOGOTA |  Ciudad: BOGOTA |  Dirección: CL 88 # 2 ES-50 |  Teléfono: 3114823127 |  E-mail: helena123estefany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603-202203280429366 | "/>
  </r>
  <r>
    <x v="5"/>
    <n v="12307359"/>
    <s v="Reasignación"/>
    <s v="28-2303-202203290020474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90020474 |  Número de Identificación: 1061793346 |  Nombre o Razón Social: ORTIZ LLEDESMA ROBINSON DANILO |  País: COLOMBIA |  Departamento: NARIÑO |  Ciudad: PASTO |  Dirección: MZ 23 CS 12 DIV 1 - TAMAAGRA 1 |  Teléfono: 3187069566 |  E-mail: RDORTIZLE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290436671 | "/>
  </r>
  <r>
    <x v="5"/>
    <n v="12307627"/>
    <s v="Reasignación"/>
    <s v="28-2303-202203290020478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90020478 |  Número de Identificación: 8999990619 |  Nombre o Razón Social: PERSONERIA DE BOGOTA |  País: COLOMBIA |  Departamento: BOGOTA |  Ciudad: BOGOTA |  Dirección: CR 7 A # 21 - 24 |  Teléfono: 3820450 |  E-mail: pvasquez@personeriabogota.gov.co |  Número de Folios : 0 |  Tipología: Novedades Aportes de Cesantias |  Requiere Modificación: No |  Tipo de Modificación: No Aplica |  Tipo de Empresa: Publica |  Tipo de Novedad: Autorizacion TVA |  Estado del Proceso 1: Tramitado con Anterioridad |  Usuario Responsable: Oscar Ramiro Reyes Prada |  Estado del Proceso 2: Ok. Aprobado |  Respuesta procesamiento Cobis: Correo Electronico |  Radicado de Correspondencia Recibida: 02-2303-202203290436898 | "/>
  </r>
  <r>
    <x v="5"/>
    <n v="12307953"/>
    <s v="Reasignación"/>
    <s v="28-2303-202203280020294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80020294 |  Número de Identificación: 50913443 |  Nombre o Razón Social: CUELLO LOPEZ DALIS CUELLO |  País: COLOMBIA |  Departamento: CORDOBA |  Ciudad: MONTERIA |  Dirección: MZ 96 L 9 |  Teléfono: 3135792960 |  E-mail: n/a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280431782 | "/>
  </r>
  <r>
    <x v="5"/>
    <n v="12312527"/>
    <s v="Reasignación"/>
    <s v="28-4603-202203290020430"/>
    <x v="10"/>
    <d v="2022-04-05T00:00:00"/>
    <d v="2022-04-04T00:00:00"/>
    <n v="5"/>
    <s v="MARZO"/>
    <s v="NOTIFICAR"/>
    <x v="5"/>
    <x v="0"/>
    <x v="1"/>
    <s v=""/>
    <x v="0"/>
    <x v="1"/>
    <s v="Respuesta Asistentes FNA"/>
    <s v="Radicado: 28-4603-202203290020430 |  Número de Identificación: 1019076784 |  Nombre o Razón Social: FERNEY ANDRES ROJAS HERNANDEZ |  País: COLOMBIA |  Departamento: BOGOTA |  Ciudad: BOGOTA |  Dirección: CLL 75  70-33 |  Teléfono: 3144868406 |  E-mail: farh921123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97 | "/>
  </r>
  <r>
    <x v="5"/>
    <n v="12304100"/>
    <s v="Reasignación"/>
    <s v="28-2303-202203290020415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2303-202203290020415 |  Número de Identificación: 8907000408 |  Nombre o Razón Social: FERRETERIA GODOY LTDA |  País: COLOMBIA |  Departamento: TOLIMA |  Ciudad: IBAGUE |  Dirección: CL 18 A N # 1 - 45 OF 55 |  Teléfono: 2610555 |  E-mail: adm1ferregodoy@gmail.com |  Número de Folios : 0 |  Tipología: Novedades Aportes de Cesantias |  Requiere Modificación: No |  Tipo de Modificación: No Aplica |  Tipo de Empresa: Privada |  Tipo de Novedad: Monetaria |  Estado del Proceso 1: Tramitado con Anterioridad |  Usuario Responsable: Breidy Julieth Quiroga Noguera |  Respuesta procesamiento Cobis: Correo Electronico |  Radicado de Correspondencia Recibida: 02-2303-202203290434532 | "/>
  </r>
  <r>
    <x v="5"/>
    <n v="12302951"/>
    <s v="Reasignación"/>
    <s v="28-2303-202203290020397"/>
    <x v="10"/>
    <d v="2022-04-05T00:00:00"/>
    <d v="2022-04-04T00:00:00"/>
    <n v="5"/>
    <s v="MARZO"/>
    <s v="NOTIFICAR"/>
    <x v="2"/>
    <x v="0"/>
    <x v="1"/>
    <s v=""/>
    <x v="0"/>
    <x v="1"/>
    <s v="Respuesta Asistentes FNA"/>
    <s v="Radicado: 28-2303-202203290020397 |  Número de Identificación: 30350782 |  Nombre o Razón Social: FLORIDO QUINONES YERALDINE |  País: COLOMBIA |  Departamento: CALDAS |  Ciudad: LA DORADA |  Dirección: CL 16 # 9 - 27 |  Teléfono: 3132691846 |  E-mail: BELYI-L-L@LIVE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3727 | "/>
  </r>
  <r>
    <x v="5"/>
    <n v="12313893"/>
    <s v="Reasignación"/>
    <s v="28-4902-202203290020393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902-202203290020393 |  Número de Identificación: 9008350521 |  Nombre o Razón Social: URBANA INGENERIA S.A.S |  País: COLOMBIA |  Departamento: CAQUETA |  Ciudad: FLORENCIA |  Dirección: CR 15 5 B- 13 # CENTRO |  Teléfono: 4343807 |  E-mail: REINOSOINGENIERIA@GMAIL.COM |  Número de Folios : 4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902-202203290433466 | "/>
  </r>
  <r>
    <x v="5"/>
    <n v="12312508"/>
    <s v="Reasignación"/>
    <s v="28-4603-202203290020421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603-202203290020421 |  Número de Identificación: 53121970 |  Nombre o Razón Social: ECHEVERRY GUDINO LUZ HELENA |  País: COLOMBIA |  Departamento: BOGOTA |  Ciudad: BOGOTA |  Dirección: KR 44 A 19 C 87 APTO 301 BL A |  Teléfono: 7292528 |  E-mail: LUZHELENAECHEVERRY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4680 | "/>
  </r>
  <r>
    <x v="5"/>
    <n v="12312525"/>
    <s v="Reasignación"/>
    <s v="28-4603-202203290020426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603-202203290020426 |  Número de Identificación: 79368726 |  Nombre o Razón Social: FRANCISCO  MEDINA CARDONA |  País: COLOMBIA |  Departamento: BOGOTA |  Ciudad: BOGOTA |  Dirección: CRA 73 56 A 45 |  Teléfono: 3138578292 |  E-mail: @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4748 | "/>
  </r>
  <r>
    <x v="5"/>
    <n v="12312593"/>
    <s v="Reasignación"/>
    <s v="28-4603-202203290020511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603-202203290020511 |  Número de Identificación: 1003776879 |  Nombre o Razón Social: GARZON ARIAS NATALIA |  País: COLOMBIA |  Departamento: BOGOTA |  Ciudad: BOGOTA |  Dirección: CRA 7 74-21 |  Teléfono: 3219055999 |  E-mail: NATISYDUVIS18@GMAIL.COM |  Número de Folios : 7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3-202203290438142 | "/>
  </r>
  <r>
    <x v="5"/>
    <n v="12312526"/>
    <s v="Reasignación"/>
    <s v="28-4603-202203290020427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603-202203290020427 |  Número de Identificación: 80135679 |  Nombre o Razón Social: RUBIANO  BRAYAN |  País: COLOMBIA |  Departamento: BOGOTA |  Ciudad: BOGOTA |  Dirección: CLL 77 B N 129-70 |  Teléfono: 3004026915 |  E-mail: RUBIANO.BRAYAN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67 | "/>
  </r>
  <r>
    <x v="5"/>
    <n v="12304713"/>
    <s v="Reasignación"/>
    <s v="28-2303-202203290020439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2303-202203290020439 |  Número de Identificación: 1054559718 |  Nombre o Razón Social: OSPINA SALDANA MIGUEL ANGEL |  País: COLOMBIA |  Departamento: CALDAS |  Ciudad: LA DORADA |  Dirección: CR 5 A # 39 - 171 |  Teléfono: 3137849408 |  E-mail: MIGUEL.OSPINA9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5067 | "/>
  </r>
  <r>
    <x v="5"/>
    <n v="12314401"/>
    <s v="Reasignación"/>
    <s v="28-2303-202203300020610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2303-202203300020610 |  Número de Identificación: 901052647 |  Nombre o Razón Social: ACRIMAGEN SOLUCIONES ARQUITECTONICAS Y PUBLICITARI |  País: COLOMBIA |  Departamento: BOGOTA |  Ciudad: BOGOTA |  Dirección: 0 |  Teléfono: 0 |  E-mail: informacionacrimagen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2303-202203300440995 | "/>
  </r>
  <r>
    <x v="5"/>
    <n v="12313990"/>
    <s v="Reasignación"/>
    <s v="28-2303-202203290020581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90020581 |  Número de Identificación: 986660542 |  Nombre o Razón Social: TALLER ARCO Y O CAMILO HERNANDO HOYOS MARTINEZ |  País: COLOMBIA |  Departamento: CHOCO |  Ciudad: QUIBDO |  Dirección: CR 1 # 32 - 12 |  Teléfono: 0 |  E-mail: janyimore@hot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290440767 | "/>
  </r>
  <r>
    <x v="5"/>
    <n v="12310536"/>
    <s v="Reasignación"/>
    <s v="28-2303-202203290020530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90020530 |  Número de Identificación: 9005498774 |  Nombre o Razón Social: LAZOS DE AMOR HOGARES COMUNITARIOS DEL ICBF |  País: COLOMBIA |  Departamento: BOGOTA |  Ciudad: BOGOTA |  Dirección: CR 76A #59B-03 SU |  Teléfono: 4684594 |  E-mail: N/A |  Número de Folios : 0 |  Tipología: Novedades Aportes de Cesantias |  Requiere Modificación: No |  Tipo de Modificación: No Aplica |  Tipo de Empresa: Privada |  Tipo de Novedad: Monetaria |  Estado del Proceso 1: Ok. Aprobado |  Usuario Responsable: Ledher Julian Martin Sierra Cristancho |  Estado del Proceso 3: Ok. Aprobado |  Respuesta procesamiento Cobis: Correo Electronico |  Radicado de Correspondencia Recibida: 02-2303-202203290438728 | "/>
  </r>
  <r>
    <x v="5"/>
    <n v="12311436"/>
    <s v="Reasignación"/>
    <s v="28-4701-202203290020438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701-202203290020438 |  Número de Identificación: 15514970 |  Nombre o Razón Social: JUAN FERNANDO ECHEVERRY ZAPATA |  País: COLOMBIA |  Departamento: ANTIOQUIA |  Ciudad: COPACABANA |  Dirección: CL 38A # 50A -21 |  Teléfono: 3214307769 |  E-mail: JFERNANDO2327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701-202203290435048 | "/>
  </r>
  <r>
    <x v="5"/>
    <n v="12313978"/>
    <s v="Reasignación"/>
    <s v="28-4905-202203290020555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905-202203290020555 |  Número de Identificación: 20618935 |  Nombre o Razón Social: ESPINOSA FLOR MARIA |  País: COLOMBIA |  Departamento: CUNDINAMARCA |  Ciudad: AGUA DE DIOS |  Dirección: CR 10 # 10A - 69 |  Teléfono: 3202756280 |  E-mail: N/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Fisico |  Radicado de Correspondencia Recibida: 02-4905-202203290439788 | "/>
  </r>
  <r>
    <x v="5"/>
    <n v="12304139"/>
    <s v="Reasignación"/>
    <s v="28-2303-202203290020416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2303-202203290020416 |  Número de Identificación: 1018432570 |  Nombre o Razón Social: HEIDYS SORAYA NIÑO PEREZ |  País: COLOMBIA |  Departamento: BOGOTA |  Ciudad: BOGOTA |  Dirección: TV 71 BIS # 75 A - 07 AP 406 2 |  Teléfono: 3044799944 |  E-mail: HSNP9083@G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290434565 | "/>
  </r>
  <r>
    <x v="5"/>
    <n v="12306597"/>
    <s v="Reasignación"/>
    <s v="28-4805-202203280020214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805-202203280020214 |  Número de Identificación: 1144029620 |  Nombre o Razón Social: CARLOS ANDRES GALLON |  País: COLOMBIA |  Departamento: VALLE DEL CAUCA |  Ciudad: CALI |  Dirección: CR 94A 48-65 TORRE 1 APTO 401 |  Teléfono: 3002706749 |  E-mail: CARLOSGALLON1989@HOT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4805-202203280428898 | "/>
  </r>
  <r>
    <x v="5"/>
    <n v="12309041"/>
    <s v="Reasignación"/>
    <s v="28-2303-202203290020501"/>
    <x v="10"/>
    <d v="2022-04-05T00:00:00"/>
    <d v="2022-04-04T00:00:00"/>
    <n v="5"/>
    <s v="MARZO"/>
    <s v="NOTIFICAR"/>
    <x v="2"/>
    <x v="0"/>
    <x v="1"/>
    <s v=""/>
    <x v="0"/>
    <x v="1"/>
    <s v="Respuesta Asistentes FNA"/>
    <s v="Radicado: 28-2303-202203290020501 |  Número de Identificación: 25389516 |  Nombre o Razón Social: ANGULO  MARIA ELENA |  País: COLOMBIA |  Departamento: VALLE DEL CAUCA |  Ciudad: CALI |  Dirección: MZ 3 CASA 8 ETP |  Teléfono: 5142756 |  E-mail: MANGULO0310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290437777 | "/>
  </r>
  <r>
    <x v="5"/>
    <n v="12303880"/>
    <s v="Reasignación"/>
    <s v="28-4603-202203280020222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603-202203280020222 |  Número de Identificación: 79688014 |  Nombre o Razón Social: SANCHEZ GUEVARA CARLOS ALBER |  País: COLOMBIA |  Departamento: BOGOTA |  Ciudad: BOGOTA |  Dirección: AK 19 154-41 |  Teléfono: 3165374700 |  E-mail: CSANCHEZG1@YAHOO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603-202203280429356 | "/>
  </r>
  <r>
    <x v="5"/>
    <n v="12310145"/>
    <s v="Reasignación"/>
    <s v="28-4601-202203280020293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601-202203280020293 |  Número de Identificación: 860005428 |  Nombre o Razón Social: ARRIENDOS COLOMBIA MD SAS  |  País: COLOMBIA |  Departamento: BOGOTA |  Ciudad: BOGOTA |  Dirección: CR 38 12  B 58  |  Teléfono: 3112057279 |  E-mail: arriendosltdafincaraiz12@hotmail.com |  Número de Folios : 14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1-202203280431707 | "/>
  </r>
  <r>
    <x v="5"/>
    <n v="12313808"/>
    <s v="Reasignación"/>
    <s v="28-4803-202203290020457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4803-202203290020457 |  Número de Identificación: 98370679 |  Nombre o Razón Social: NASNER  WILLIAM EDWING |  País: COLOMBIA |  Departamento: NARIÑO |  Ciudad: PASTO |  Dirección: VRD BOTANA # CA 5 SEC CATAMBUCO  |  Teléfono: 0 |  E-mail: @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803-202203290435688 | "/>
  </r>
  <r>
    <x v="5"/>
    <n v="12312362"/>
    <s v="Reasignación"/>
    <s v="28-4302-202203290020496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302-202203290020496 |  Número de Identificación: 45761558 |  Nombre o Razón Social: MARIA DELROSARIO CASTRO TATIS |  País: COLOMBIA |  Departamento: BOLIVAR |  Ciudad: CARTAGENA |  Dirección: CR 8 B   25   56 |  Teléfono: 2605031 |  E-mail: na@na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302-202203290437452 | "/>
  </r>
  <r>
    <x v="5"/>
    <n v="12312509"/>
    <s v="Reasignación"/>
    <s v="28-4603-202203290020422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4603-202203290020422 |  Número de Identificación: 63525382 |  Nombre o Razón Social: GAMBOA SUAREZ NOHEMI |  País: COLOMBIA |  Departamento: BOGOTA |  Ciudad: BOGOTA |  Dirección: CLL 29 SUR 11 D 22 |  Teléfono: 3197803185 |  E-mail: ABOGADA.SUAREZ21@GMAIL.COM |  Número de Folios : 3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3-202203290434703 | "/>
  </r>
  <r>
    <x v="5"/>
    <n v="12305640"/>
    <s v="Reasignación"/>
    <s v="28-2303-202203280020188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80020188 |  Número de Identificación: 9010288686 |  Nombre o Razón Social: SOLUCIONES INNOVADORAS EN TEGNOLOGIA DE LA INFORMACION SAS |  País: COLOMBIA |  Departamento: MAGDALENA |  Ciudad: SANTA MARTA |  Dirección: CR 4 # 19 - 49 |  Teléfono: 0 |  E-mail: bertha.vanegas@sitiapp.com |  Número de Folios : 0 |  Tipología: Novedades Aportes de Cesantias |  Tipo de solicitud: Validacion de reporte |  Motivo: RV: SOLUCIONES INNOVADORAS EN TECNOLOGIAS DE LA INFORMACION -9010288686 - Solicitud de soportes |  Medio de recepción: Buzón Apoyo Empresas |  Requiere Modificación: No |  Tipo de Modificación: No Aplica |  Tipo de Empresa: Privada |  Tipo de Novedad: Monetaria |  Estado del Proceso 1: Ok. Aprobado |  Usuario Responsable: Jhonier James Leon Guzman |  Estado del Proceso 3: Ok. Aprobado |  Respuesta procesamiento Cobis: Correo Electronico |  Radicado de Correspondencia Recibida: 02-2303-202203280427619 | "/>
  </r>
  <r>
    <x v="5"/>
    <n v="12314122"/>
    <s v="Reasignación"/>
    <s v="28-2303-202203290020599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290020599 |  Número de Identificación: 52499122  |  Nombre o Razón Social: RABA MARIN MARTA |  País: COLOMBIA |  Departamento: BOGOTA |  Ciudad: BOGOTA |  Dirección: CL 69 B BIS # 22 32 SUR |  Teléfono: 3704063 |  E-mail: MARTHARABA08@G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290440852 | "/>
  </r>
  <r>
    <x v="5"/>
    <n v="12314058"/>
    <s v="Reasignación"/>
    <s v="28-2303-202203290020590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2303-202203290020590 |  Número de Identificación: 8600040301 |  Nombre o Razón Social: R B DE COLOMBIA SA |  País: COLOMBIA |  Departamento: BOGOTA |  Ciudad: BOGOTA |  Dirección: CR 14 # 75 77 OF 701 |  Teléfono: 2102004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Estado del Proceso 3: Ok. Aprobado |  Respuesta procesamiento Cobis: Correo Electronico |  Radicado de Correspondencia Recibida: 02-2303-202203290440812 | "/>
  </r>
  <r>
    <x v="5"/>
    <n v="12314517"/>
    <s v="Reasignación"/>
    <s v="28-2303-202203300020627"/>
    <x v="10"/>
    <d v="2022-04-05T00:00:00"/>
    <d v="2022-04-04T00:00:00"/>
    <n v="5"/>
    <s v="MARZO"/>
    <s v="NOTIFICAR"/>
    <x v="1"/>
    <x v="0"/>
    <x v="1"/>
    <s v=""/>
    <x v="0"/>
    <x v="1"/>
    <s v="Respuesta Asistentes FNA"/>
    <s v="Radicado: 28-2303-202203300020627 |  Número de Identificación: 901216537 |  Nombre o Razón Social: SANILAB IPS SAS |  País: COLOMBIA |  Departamento: CUNDINAMARCA |  Ciudad: ZIPAQUIRA |  Dirección: CR 10 A # 6 - 90 |  Teléfono: 8903121 |  E-mail: N/A |  Número de Folios : 0 |  Tipología: Novedades Aportes de Cesantias |  Requiere Modificación: No |  Tipo de Modificación: No Aplica |  Tipo de Empresa: Privada |  Tipo de Novedad: No Monetaria |  Estado del Proceso 1: Tramitado con Anterioridad |  Usuario Responsable: Ledher Julian Martin Sierra Cristancho |  Respuesta procesamiento Cobis: Correo Electronico |  Radicado de Correspondencia Recibida: 02-2303-202203300441072 | "/>
  </r>
  <r>
    <x v="5"/>
    <n v="12311328"/>
    <s v="Reasignación"/>
    <s v="28-2303-202203290020544"/>
    <x v="10"/>
    <d v="2022-04-05T00:00:00"/>
    <d v="2022-04-04T00:00:00"/>
    <n v="5"/>
    <s v="MARZO"/>
    <s v="NOTIFICAR"/>
    <x v="0"/>
    <x v="0"/>
    <x v="1"/>
    <s v=""/>
    <x v="0"/>
    <x v="1"/>
    <s v="Respuesta Asistentes FNA"/>
    <s v="Radicado: 28-2303-202203290020544 |  Número de Identificación: 901216537 |  Nombre o Razón Social: SANILAB IPS SAS |  País: COLOMBIA |  Departamento: CUNDINAMARCA |  Ciudad: ZIPAQUIRA |  Dirección: CR 10 A # 6 - 90 |  Teléfono: 0 |  E-mail: contabilidadsanilabips@gmail.com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3290439245 | "/>
  </r>
  <r>
    <x v="2"/>
    <n v="12287034"/>
    <s v="Normal"/>
    <s v="28-2303-202203260020110"/>
    <x v="10"/>
    <d v="2022-04-05T00:00:00"/>
    <d v="2022-04-04T00:00:00"/>
    <n v="5"/>
    <s v="MARZO"/>
    <s v="NOTIFICAR"/>
    <x v="2"/>
    <x v="0"/>
    <x v="2"/>
    <s v=""/>
    <x v="0"/>
    <x v="2"/>
    <s v="Asistentes FNA - Ejecución Novedad"/>
    <s v="Radicado: 28-2303-202203260020110 |  Número de Identificación: 1032481816 |  Nombre o Razón Social: DALLY YUJAHINA DALEL REINA |  País: COLOMBIA |  Departamento: VICHADA |  Ciudad: PUERTO CARREÑO |  Dirección: CR 6 # 18 - 57 |  Teléfono: 3112974154 |  E-mail: plazacentro2009@hotmail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Respuesta procesamiento Cobis: Correo Electronico |  Radicado de Correspondencia Recibida: 02-2303-202203260422346 | "/>
  </r>
  <r>
    <x v="2"/>
    <n v="12207439"/>
    <s v="Normal"/>
    <s v="28-2303-202203160018305"/>
    <x v="10"/>
    <d v="2022-04-05T00:00:00"/>
    <d v="2022-04-04T00:00:00"/>
    <n v="5"/>
    <s v="MARZO"/>
    <s v="NOTIFICAR"/>
    <x v="2"/>
    <x v="0"/>
    <x v="2"/>
    <s v=""/>
    <x v="0"/>
    <x v="2"/>
    <s v="Asistentes FNA - Ejecución Novedad"/>
    <s v="Radicado: 28-2303-202203160018305 |  Número de Identificación: 57300210 |  Nombre o Razón Social: PUENTE AVENDAÑO SERGIO ANDRES |  País: COLOMBIA |  Departamento: BOGOTA |  Ciudad: BOGOTA |  Dirección: sin datos |  Teléfono: sin datos |  E-mail: sin datos |  Número de Folios : 1 |  Tipología: Novedades Aportes de Cesantias |  Tipo de solicitud: Inconsistencias |  Motivo: se solicita corrección tipo de doc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160368207 | "/>
  </r>
  <r>
    <x v="7"/>
    <n v="12313626"/>
    <s v="Normal"/>
    <s v="28-2303-202203290020575"/>
    <x v="10"/>
    <d v="2022-04-05T00:00:00"/>
    <d v="2022-04-04T00:00:00"/>
    <n v="5"/>
    <s v="MARZO"/>
    <s v="NOTIFICAR"/>
    <x v="5"/>
    <x v="0"/>
    <x v="3"/>
    <s v=""/>
    <x v="0"/>
    <x v="0"/>
    <s v="Asistentes FNA"/>
    <s v="Radicado: 28-2303-202203290020575 |  Número de Identificación: 8001039277 |  Nombre o Razón Social: GOBERNACION DEL NORTE DE SANTANDER |  País: COLOMBIA |  Departamento: NORTE DE SANTANDER |  Ciudad: CUCUTA |  Dirección: AV 5 CL 13 Y 14 CENTRO |  Teléfono: 9757105 |  E-mail: ekarime.jaimes@nortedesantander.gov.co |  Número de Folios : 0 |  Tipología: Novedades Aportes de Cesantias |  Radicado de Correspondencia Recibida: 02-2303-202203290440697 | "/>
  </r>
  <r>
    <x v="6"/>
    <n v="12320071"/>
    <s v="Normal"/>
    <s v="28-2303-202203300020750"/>
    <x v="11"/>
    <d v="2022-04-06T00:00:00"/>
    <d v="2022-04-04T00:00:00"/>
    <n v="4"/>
    <s v="MARZO"/>
    <s v="NOTIFICAR"/>
    <x v="1"/>
    <x v="0"/>
    <x v="3"/>
    <s v=""/>
    <x v="1"/>
    <x v="0"/>
    <s v="Asistentes FNA"/>
    <s v="Radicado: 28-2303-202203300020750 |  Número de Identificación: 900782606 |  Nombre o Razón Social: DERIVADOS DEL ALAMBRE DERALAM SAS |  País: COLOMBIA |  Departamento: BOGOTA |  Ciudad: BOGOTA |  Dirección: 0 |  Teléfono: 3183729070 |  E-mail: deralam.gestionhumana@gmail.com |  Número de Folios : 0 |  Tipología: Devolucion de Aportes |  Radicado de Correspondencia Recibida: 02-2303-202203300445463 | "/>
  </r>
  <r>
    <x v="6"/>
    <n v="12323012"/>
    <s v="Normal"/>
    <s v="28-2303-202203300020819"/>
    <x v="11"/>
    <d v="2022-04-06T00:00:00"/>
    <d v="2022-04-04T00:00:00"/>
    <n v="4"/>
    <s v="MARZO"/>
    <s v="NOTIFICAR"/>
    <x v="1"/>
    <x v="0"/>
    <x v="3"/>
    <s v=""/>
    <x v="1"/>
    <x v="0"/>
    <s v="Asistentes FNA"/>
    <s v="Radicado: 28-2303-202203300020819 |  Número de Identificación: 8902066115 |  Nombre o Razón Social: DISTRIBUIDORA  RAYCO |  País: COLOMBIA |  Departamento: SANTANDER |  Ciudad: BUCARAMANGA |  Dirección: AV.4  7-72 |  Teléfono: 5834130 |  E-mail: colfondostrasladospv-ces@iq-online.com |  Número de Folios : 0 |  Tipología: Devolucion de Aportes |  Radicado de Correspondencia Recibida: 02-2303-202203300447508 | "/>
  </r>
  <r>
    <x v="6"/>
    <n v="12316893"/>
    <s v="Normal"/>
    <s v="28-2303-202203300020687"/>
    <x v="11"/>
    <d v="2022-04-06T00:00:00"/>
    <d v="2022-04-04T00:00:00"/>
    <n v="4"/>
    <s v="MARZO"/>
    <s v="NOTIFICAR"/>
    <x v="1"/>
    <x v="0"/>
    <x v="3"/>
    <s v=""/>
    <x v="1"/>
    <x v="0"/>
    <s v="Asistentes FNA"/>
    <s v="Radicado: 28-2303-202203300020687 |  Número de Identificación: 9014389121 |  Nombre o Razón Social: PROYECTOS DE TECNOLOGIA Y MOVILIDAD SAS |  País: COLOMBIA |  Departamento: ANTIOQUIA |  Ciudad: MEDELLIN |  Dirección: CR 43 A # 18 - 135 SUR LC 341 A |  Teléfono: 0 |  E-mail: dircontabilidad@concesionariosimit.com |  Número de Folios : 0 |  Tipología: Devolucion de Aportes |  Radicado de Correspondencia Recibida: 02-2303-202203300442941 | "/>
  </r>
  <r>
    <x v="6"/>
    <n v="12317781"/>
    <s v="Normal"/>
    <s v="28-2303-202203300020704"/>
    <x v="11"/>
    <d v="2022-04-06T00:00:00"/>
    <d v="2022-04-04T00:00:00"/>
    <n v="4"/>
    <s v="MARZO"/>
    <s v="NOTIFICAR"/>
    <x v="1"/>
    <x v="0"/>
    <x v="3"/>
    <s v=""/>
    <x v="1"/>
    <x v="0"/>
    <s v="Asistentes FNA"/>
    <s v="Radicado: 28-2303-202203300020704 |  Número de Identificación: 9003538804 |  Nombre o Razón Social: CENTRO DE SOLUCIONES CONTABLES Y FINANCIERAS ESPECIALIZADAS S.A.S |  País: COLOMBIA |  Departamento: BOLIVAR |  Ciudad: CARTAGENA |  Dirección: 0 |  Teléfono: 3007715837 |  E-mail: asistente@cesconsas.com |  Número de Folios : 0 |  Tipología: Devolucion de Aportes |  Radicado de Correspondencia Recibida: 02-2303-202203300443717 | "/>
  </r>
  <r>
    <x v="0"/>
    <n v="12324671"/>
    <s v="Normal"/>
    <s v="28-2303-202203300020842"/>
    <x v="11"/>
    <d v="2022-04-06T00:00:00"/>
    <d v="2022-04-04T00:00:00"/>
    <n v="4"/>
    <s v="MARZO"/>
    <s v="NOTIFICAR"/>
    <x v="0"/>
    <x v="0"/>
    <x v="3"/>
    <s v=""/>
    <x v="1"/>
    <x v="0"/>
    <s v="Asistentes FNA"/>
    <s v="Radicado: 28-2303-202203300020842 |  Número de Identificación: 20370207 |  Nombre o Razón Social: LOMBANA MORENO LUZ DARY |  País: COLOMBIA |  Departamento: BOGOTA |  Ciudad: BOGOTA |  Dirección: CL 150 # 45 - 49 |  Teléfono: 3215084945 |  E-mail: surtidor146@gmail.com |  Número de Folios : 0 |  Tipología: Devolucion de Aportes |  Radicado de Correspondencia Recibida: 02-2303-202203300448578 | "/>
  </r>
  <r>
    <x v="2"/>
    <n v="12320142"/>
    <s v="Normal"/>
    <s v="28-2303-202203300020754"/>
    <x v="11"/>
    <d v="2022-04-06T00:00:00"/>
    <d v="2022-04-04T00:00:00"/>
    <n v="4"/>
    <s v="MARZO"/>
    <s v="NOTIFICAR"/>
    <x v="2"/>
    <x v="0"/>
    <x v="2"/>
    <s v=""/>
    <x v="0"/>
    <x v="2"/>
    <s v="Asistentes FNA - Ejecución Novedad"/>
    <s v="Radicado: 28-2303-202203300020754 |  Número de Identificación: 9007534815 |  Nombre o Razón Social: ARIAS DUQUE GROUP SAS |  País: COLOMBIA |  Departamento: BOGOTA |  Ciudad: BOGOTA |  Dirección: AVENIDA CALLE 86 # 24-54 |  Teléfono: 6918638 |  E-mail: n/a |  Número de Folios : 0 |  Tipología: Novedades Aportes de Cesantias |  Requiere Modificación: No |  Tipo de Modificación: No Aplica |  Tipo de Empresa: Privada |  Tipo de Novedad: Monetaria |  Estado del Proceso 1: Ok. Aprobado |  Usuario Responsable: Breidy Julieth Quiroga Noguera |  Respuesta procesamiento Cobis: Correo Electronico |  Radicado de Correspondencia Recibida: 02-2303-202203300445499 | "/>
  </r>
  <r>
    <x v="2"/>
    <n v="12322011"/>
    <s v="Normal"/>
    <s v="28-2303-202203280020263"/>
    <x v="11"/>
    <d v="2022-04-06T00:00:00"/>
    <d v="2022-04-04T00:00:00"/>
    <n v="4"/>
    <s v="MARZO"/>
    <s v="NOTIFICAR"/>
    <x v="2"/>
    <x v="0"/>
    <x v="2"/>
    <s v=""/>
    <x v="0"/>
    <x v="2"/>
    <s v="Asistentes FNA - Ejecución Novedad"/>
    <s v="Radicado: 28-2303-202203280020263 |  Número de Identificación: 8110230248  |  Nombre o Razón Social: PINTURAS ASTECA LTDA |  País: COLOMBIA |  Departamento: BOGOTA |  Ciudad: BOGOTA |  Dirección: CL 29 #45 87 |  Teléfono: 2610844 |  E-mail: administracion@aztecapinturas.com |  Número de Folios : 0 |  Tipología: Apoyo Empresas |  Tipo de solicitud: Validacion de reporte |  Motivo: _x000a_VALIDAR PAGO _x000a_ |  Medio de recepción: Buzón Apoyo Empresas |  Requiere Modificación: No |  Tipo de Modificación: No Aplica |  Tipo de Empresa: Privada |  Tipo de Novedad: Correccion de Nombre sin Formato |  Estado del Proceso 1: Ok. Aprobado |  Usuario Responsable: Breidy Julieth Quiroga Noguera |  Resultado captura: Otras Solicitudes |  Respuesta procesamiento Cobis: Correo Electronico |  Requiere respuesta: Si |  Radicado de Correspondencia Recibida: 02-2303-202203280430152 | "/>
  </r>
  <r>
    <x v="2"/>
    <n v="12323972"/>
    <s v="Normal"/>
    <s v="28-2303-202203300020833"/>
    <x v="11"/>
    <d v="2022-04-06T00:00:00"/>
    <d v="2022-04-04T00:00:00"/>
    <n v="4"/>
    <s v="MARZO"/>
    <s v="NOTIFICAR"/>
    <x v="2"/>
    <x v="0"/>
    <x v="2"/>
    <s v=""/>
    <x v="0"/>
    <x v="2"/>
    <s v="Asistentes FNA - Ejecución Novedad"/>
    <s v="Radicado: 28-2303-202203300020833 |  Número de Identificación: 8605168065 |  Nombre o Razón Social: PERMODA  LTDA |  País: COLOMBIA |  Departamento: BOGOTA |  Ciudad: BOGOTA |  Dirección: CL 17A #68 D 88 |  Teléfono: 2948999 |  E-mail: yanedc@permoda.com.co |  Número de Folios : 0 |  Tipología: Novedades Aportes de Cesantias |  Requiere Modificación: No |  Tipo de Modificación: No Aplica |  Tipo de Empresa: Privada |  Tipo de Novedad: Monetaria |  Estado del Proceso 1: Ok. Aprobado |  Usuario Responsable: Jhonier James Leon Guzman |  Respuesta procesamiento Cobis: Correo Electronico |  Radicado de Correspondencia Recibida: 02-2303-202203300448253 | "/>
  </r>
  <r>
    <x v="5"/>
    <n v="12324125"/>
    <s v="Reasignación"/>
    <s v="28-2303-202203300020837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837 |  Número de Identificación: 8498283 |  Nombre o Razón Social: FONTALVO CHARRIS CARLOS GUADITH |  País: COLOMBIA |  Departamento: ATLANTICO |  Ciudad: SANTO TOMAS |  Dirección: CL 9 # 12-151 |  Teléfono: 3013755452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2303-202203300448313 | "/>
  </r>
  <r>
    <x v="5"/>
    <n v="12322202"/>
    <s v="Reasignación"/>
    <s v="28-2303-202203300020801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801 |  Número de Identificación: 1075668160 |  Nombre o Razón Social: RIANO QUINTERO CAMILO ANDRES |  País: COLOMBIA |  Departamento: CUNDINAMARCA |  Ciudad: ZIPAQUIRA |  Dirección: CL 4 # 17 100  |  Teléfono: 0 |  E-mail: @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300446975 | "/>
  </r>
  <r>
    <x v="5"/>
    <n v="12323089"/>
    <s v="Reasignación"/>
    <s v="28-2303-202203300020823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823 |  Número de Identificación: 1123635785 |  Nombre o Razón Social: MARTINEZ DIAZ NASMILE MARYURY |  País: COLOMBIA |  Departamento: ISLAS |  Ciudad: SAN ANDRES |  Dirección: SECTOR LOMA BARKERS HILL |  Teléfono: 3160441139 |  E-mail: nasmilemartinezdiaz1@gmail.com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Breidy Julieth Quiroga Noguera |  Respuesta procesamiento Cobis: Correo Electronico |  Radicado de Correspondencia Recibida: 02-2303-202203300447563 | "/>
  </r>
  <r>
    <x v="5"/>
    <n v="12324192"/>
    <s v="Reasignación"/>
    <s v="28-2303-202203300020838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838 |  Número de Identificación: 1037390203 |  Nombre o Razón Social: BUILES MORENO DEISY AIEDE |  País: COLOMBIA |  Departamento: BOGOTA |  Ciudad: BOGOTA |  Dirección: CR 98 # 85 23 |  Teléfono: 2332978 |  E-mail: DEISY.BUILES.M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2303-202203300448351 | "/>
  </r>
  <r>
    <x v="5"/>
    <n v="12315778"/>
    <s v="Reasignación"/>
    <s v="28-2303-202203250020026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250020026 |  Número de Identificación: 9009278871 |  Nombre o Razón Social: NEFROCHOCO S.A.S |  País: COLOMBIA |  Departamento: CHOCO |  Ciudad: QUIBDO |  Dirección: CR 8 # 29 - 30 |  Teléfono: 6716440 |  E-mail: n/a |  Número de Folios : 0 |  Tipología: Planilla Manual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equiere respuesta: Si |  Radicado de Correspondencia Recibida: 02-2303-202203250420385 | "/>
  </r>
  <r>
    <x v="5"/>
    <n v="12320814"/>
    <s v="Reasignación"/>
    <s v="28-2303-202203300020777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777 |  Número de Identificación: 1144074966  |  Nombre o Razón Social: GAVIRIA MORA YAJAIRA |  País: COLOMBIA |  Departamento: PUTUMAYO |  Ciudad: MOCOA |  Dirección: B/ PEÑON |  Teléfono: 3204962826 |  E-mail: YAJAIRAGAVIRIAMORA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00445939 | "/>
  </r>
  <r>
    <x v="5"/>
    <n v="12326219"/>
    <s v="Reasignación"/>
    <s v="28-2303-202203310020869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10020869 |  Número de Identificación: 1085278752 |  Nombre o Razón Social: MELO LOPEZ CRISTHIAN CAMILO |  País: COLOMBIA |  Departamento: BOGOTA |  Ciudad: BOGOTA |  Dirección: DG 15 # 11 E - 14 EL ROSARIO |  Teléfono: 0 |  E-mail: camilomelo911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49247 | "/>
  </r>
  <r>
    <x v="5"/>
    <n v="12325040"/>
    <s v="Reasignación"/>
    <s v="28-4603-202203300020676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4603-202203300020676 |  Número de Identificación: 26491452 |  Nombre o Razón Social: BERMEO DE TELLEZ EVIDIA |  País: COLOMBIA |  Departamento: BOGOTA |  Ciudad: BOGOTA |  Dirección: CL 55  # 77 B-24 ANILLO 12 AP 405 URB SANTA LIBRADA |  Teléfono: 3144309970 |  E-mail: EVI.DIA2611@GMAIL.COM |  Número de Folios : 3 |  Tipología: Novedades Aportes de Cesantias |  Requiere Modificación: No |  Tipo de Modificación: No Aplica |  Tipo de Empresa: Privada |  Tipo de Novedad: No Monetaria |  Estado del Proceso 1: Ok. Aprobado |  Usuario Responsable: Breidy Julieth Quiroga Noguera |  Estado del Proceso 3: Ok. Aprobado |  Respuesta procesamiento Cobis: Correo Electronico |  Radicado de Correspondencia Recibida: 02-4603-202203300442635 | "/>
  </r>
  <r>
    <x v="5"/>
    <n v="12326073"/>
    <s v="Reasignación"/>
    <s v="28-2303-202203300020867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867 |  Número de Identificación: 1075278636 |  Nombre o Razón Social: HOYOS RUBIANO ANNY JULIETH |  País: COLOMBIA |  Departamento: BOGOTA |  Ciudad: BOGOTA |  Dirección: CL 14 SUR # 23A-29 |  Teléfono: 1 |  E-mail: solanny1820@hot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00449202 | "/>
  </r>
  <r>
    <x v="5"/>
    <n v="12316147"/>
    <s v="Reasignación"/>
    <s v="28-2303-202203300020669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669 |  Número de Identificación: 8914800302 |  Nombre o Razón Social: ALCALDIA MUNICIPAL DE PEREIRA |  País: COLOMBIA |  Departamento: RISARALDA |  Ciudad: PEREIRA |  Dirección: CR 7 - 18 - 55 PALACIO MUNICIPAL |  Teléfono: 3248054 |  E-mail: recursoshumanos@pereira.gov.co |  Número de Folios : 1 |  Tipología: Novedades Aportes de Cesantias |  Requiere Modificación: No |  Tipo de Modificación: No Aplica |  Tipo de Empresa: Publica |  Tipo de Novedad: Monetaria |  Estado del Proceso 1: Tramitado con Anterioridad |  Usuario Responsable: Ledher Julian Martin Sierra Cristancho |  Estado del Proceso 3: Ok. Aprobado |  Respuesta procesamiento Cobis: Correo Electronico |  Radicado de Correspondencia Recibida: 02-2303-202203300442397 | "/>
  </r>
  <r>
    <x v="5"/>
    <n v="12318669"/>
    <s v="Reasignación"/>
    <s v="28-2303-202203300020721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721 |  Número de Identificación: 9003877010 |  Nombre o Razón Social: LABORATORIO DE COSMETICOS LIDER OM SAS LIDER OM |  País: COLOMBIA |  Departamento: TOLIMA |  Ciudad: IBAGUE |  Dirección: CR 12 # 37 - 04 |  Teléfono: 2702120 |  E-mail: cosmeticoslider_om@hotmail.com |  Número de Folios : 0 |  Tipología: Novedades Aportes de Cesantias |  Requiere Modificación: No |  Tipo de Modificación: No Aplica |  Tipo de Empresa: Privada |  Tipo de Novedad: No Monetaria |  Estado del Proceso 1: Tramitado con Anterioridad |  Usuario Responsable: Jhonier James Leon Guzman |  Respuesta procesamiento Cobis: Correo Electronico |  Radicado de Correspondencia Recibida: 02-2303-202203300444351 | "/>
  </r>
  <r>
    <x v="5"/>
    <n v="12317161"/>
    <s v="Reasignación"/>
    <s v="28-2303-202203300020694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694 |  Número de Identificación: 1012426502 |  Nombre o Razón Social: SANCHEZ LOZADA SEBASTIAN |  País: COLOMBIA |  Departamento: BOGOTA |  Ciudad: BOGOTA |  Dirección: CL 7 A BIS # 79 D - 31 EL CONDADO |  Teléfono: 3046701856 |  E-mail: ssebastiansanchez@g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00443173 | "/>
  </r>
  <r>
    <x v="5"/>
    <n v="12322706"/>
    <s v="Reasignación"/>
    <s v="28-4301-202203300020716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4301-202203300020716 |  Número de Identificación: 72152481 |  Nombre o Razón Social: CASTANO PONZON JULIO RAFAEL |  País: COLOMBIA |  Departamento: ATLANTICO |  Ciudad: BARRANQUILLA |  Dirección: CR 41 # 32 - 19 |  Teléfono: 3126687094 |  E-mail: JULIO0721@HOTMAIL.COM |  Número de Folios : 2 |  Tipología: Novedades Aportes de Cesantias |  Requiere Modificación: No |  Tipo de Modificación: No Aplica |  Tipo de Empresa: Privada |  Tipo de Novedad: Monetaria |  Estado del Proceso 1: Ok. Aprobado |  Usuario Responsable: Jhonier James Leon Guzman |  Estado del Proceso 3: Ok. Aprobado |  Respuesta procesamiento Cobis: Correo Electronico |  Radicado de Correspondencia Recibida: 02-4301-202203300444095 | "/>
  </r>
  <r>
    <x v="5"/>
    <n v="12324798"/>
    <s v="Reasignación"/>
    <s v="28-2303-202203240019873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240019873 |  Número de Identificación: 382003271 |  Nombre o Razón Social: GUTIERREZ DE DURAN GILMA ROSA |  País: COLOMBIA |  Departamento: TOLIMA |  Ciudad: PLANADAS |  Dirección: CLL PRINCIPALGAITANA |  Teléfono: 3138546992 |  E-mail: EMMV69@YAHOO.COM |  Número de Folios : 2 |  Tipología: Planilla Manual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Estado del Proceso 5: Ok. Aprobado |  Causal de Devolución PNC: Correcto |  Requiere respuesta: Si |  Radicado de Correspondencia Recibida: 02-2303-202203240412722 | "/>
  </r>
  <r>
    <x v="5"/>
    <n v="12322705"/>
    <s v="Reasignación"/>
    <s v="28-4301-202203300020714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4301-202203300020714 |  Número de Identificación: 1091674113 |  Nombre o Razón Social: TORRES YARURO JULIANHERNANDO |  País: COLOMBIA |  Departamento: ATLANTICO |  Ciudad: BARRANQUILLA |  Dirección: CR 65 N 48 -156 |  Teléfono: 3229702863 |  E-mail: NANDO.TY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4301-202203300444053 | "/>
  </r>
  <r>
    <x v="5"/>
    <n v="12325211"/>
    <s v="Reasignación"/>
    <s v="28-4605-202203300020640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4605-202203300020640 |  Número de Identificación: 80251231 |  Nombre o Razón Social: ROBAYO CASTELLANOS FREDY ALEJANDRI |  País: COLOMBIA |  Departamento: BOGOTA |  Ciudad: BOGOTA |  Dirección: KR 46 A 76 41 SUR JERUSALEN |  Teléfono: 7310902 |  E-mail: FREDYROBAYO7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4605-202203300441238 | "/>
  </r>
  <r>
    <x v="5"/>
    <n v="12315990"/>
    <s v="Reasignación"/>
    <s v="28-2303-202203300020665"/>
    <x v="11"/>
    <d v="2022-04-06T00:00:00"/>
    <d v="2022-04-04T00:00:00"/>
    <n v="4"/>
    <s v="MARZO"/>
    <s v="NOTIFICAR"/>
    <x v="6"/>
    <x v="0"/>
    <x v="1"/>
    <s v=""/>
    <x v="0"/>
    <x v="1"/>
    <s v="Respuesta Asistentes FNA"/>
    <s v="Radicado: 28-2303-202203300020665 |  Número de Identificación: 1036614304 |  Nombre o Razón Social: VALLEJO RESTREPO LINA MARCELA |  País: COLOMBIA |  Departamento: BOGOTA |  Ciudad: BOGOTA |  Dirección: sin datos |  Teléfono: sin datos |  E-mail: @ |  Número de Folios : 1 |  Tipología: Novedades Aportes de Cesantias |  Tipo de solicitud: Inconsistencias |  Motivo: se solicita corrección tipo de documento |  Requiere Modificación: No |  Tipo de Modificación: No Aplica |  Tipo de Empresa: Privada |  Tipo de Novedad: No Monetaria |  Estado del Proceso 1: Ok. Aprobado |  Usuario Responsable: Jhonier James Leon Guzman |  Estado del Proceso 3: Ok. Aprobado |  Respuesta procesamiento Cobis: Correo Electronico |  Radicado de Correspondencia Recibida: 02-2303-202203300442257 | "/>
  </r>
  <r>
    <x v="6"/>
    <n v="12327569"/>
    <s v="Normal"/>
    <s v="28-2303-202203310020907"/>
    <x v="12"/>
    <d v="2022-04-07T00:00:00"/>
    <d v="2022-04-04T00:00:00"/>
    <n v="3"/>
    <s v="MARZO"/>
    <s v="EN GESTIÓN"/>
    <x v="7"/>
    <x v="1"/>
    <x v="3"/>
    <s v=""/>
    <x v="1"/>
    <x v="0"/>
    <s v="Asistentes FNA"/>
    <s v="Radicado: 28-2303-202203310020907 |  Número de Identificación: 8000394390 |  Nombre o Razón Social: DEMCAUTOS S A |  País: COLOMBIA |  Departamento: BOGOTA |  Ciudad: BOGOTA |  Dirección: AV 116 # 55 C - 07 |  Teléfono: 5931600 |  E-mail: jeisongoyeneche@demcautos.com.co |  Número de Folios : 0 |  Tipología: Devolucion de Aportes |  Radicado de Correspondencia Recibida: 02-2303-202203310450334 | "/>
  </r>
  <r>
    <x v="6"/>
    <n v="12332446"/>
    <s v="Normal"/>
    <s v="28-2303-202203220019320"/>
    <x v="12"/>
    <d v="2022-04-07T00:00:00"/>
    <d v="2022-04-04T00:00:00"/>
    <n v="3"/>
    <s v="MARZO"/>
    <s v="EN GESTIÓN"/>
    <x v="7"/>
    <x v="1"/>
    <x v="3"/>
    <s v=""/>
    <x v="1"/>
    <x v="0"/>
    <s v="Asistentes FNA"/>
    <s v="Radicado: 28-2303-202203220019320 |  Número de Identificación: 1016038594  |  Nombre o Razón Social: LUCUMI AMBUILA ANDERSON |  País: COLOMBIA |  Departamento: BOGOTA |  Ciudad: BOGOTA |  Dirección: CR 34 ESTE  # 6 M 8 |  Teléfono: 0 |  E-mail: ANDERSONLUCUMI54@GMAIL.COM |  Número de Folios : 0 |  Tipología: Devolucion de Aportes |  Radicado de Correspondencia Recibida: 02-2303-202203220396764 | "/>
  </r>
  <r>
    <x v="6"/>
    <n v="12337275"/>
    <s v="Normal"/>
    <s v="28-4804-202203310020929"/>
    <x v="12"/>
    <d v="2022-04-07T00:00:00"/>
    <d v="2022-04-04T00:00:00"/>
    <n v="3"/>
    <s v="MARZO"/>
    <s v="EN GESTIÓN"/>
    <x v="7"/>
    <x v="1"/>
    <x v="3"/>
    <s v=""/>
    <x v="1"/>
    <x v="0"/>
    <s v="Asistentes FNA"/>
    <s v="Radicado: 28-4804-202203310020929 |  Número de Identificación: 8305123200 |  Nombre o Razón Social: AMMA EU Y CIA S C A |  País: COLOMBIA |  Departamento: VALLE DEL CAUCA |  Ciudad: CALI |  Dirección: CR 15 #95-51 OF 202 |  Teléfono: 6913813 |  E-mail: SINTES-SAS@HOTMAIL.COM |  Número de Folios : 3 |  Tipología: Devolucion de Aportes |  Radicado de Correspondencia Recibida: 02-4804-202203310450975 | "/>
  </r>
  <r>
    <x v="0"/>
    <n v="12328229"/>
    <s v="Normal"/>
    <s v="28-2303-202203310020924"/>
    <x v="12"/>
    <d v="2022-04-07T00:00:00"/>
    <d v="2022-04-04T00:00:00"/>
    <n v="3"/>
    <s v="MARZO"/>
    <s v="EN GESTIÓN"/>
    <x v="7"/>
    <x v="1"/>
    <x v="3"/>
    <s v=""/>
    <x v="1"/>
    <x v="0"/>
    <s v="Asistentes FNA"/>
    <s v="Radicado: 28-2303-202203310020924 |  Número de Identificación: 9001961701 |  Nombre o Razón Social: ARTISANO LTDA |  País: COLOMBIA |  Departamento: BOGOTA |  Ciudad: BOGOTA |  Dirección: CL 71 # 19 - 43 |  Teléfono: 6067410 |  E-mail: recursoshumanosartisano@gmail.com |  Número de Folios : 0 |  Tipología: Devolucion de Aportes |  Radicado de Correspondencia Recibida: 02-2303-202203310450873 | "/>
  </r>
  <r>
    <x v="0"/>
    <n v="12333122"/>
    <s v="Normal"/>
    <s v="28-2303-202203300020765"/>
    <x v="12"/>
    <d v="2022-04-07T00:00:00"/>
    <d v="2022-04-04T00:00:00"/>
    <n v="3"/>
    <s v="MARZO"/>
    <s v="EN GESTIÓN"/>
    <x v="7"/>
    <x v="1"/>
    <x v="3"/>
    <s v=""/>
    <x v="1"/>
    <x v="0"/>
    <s v="Asistentes FNA"/>
    <s v="Radicado: 28-2303-202203300020765 |  Número de Identificación: 9014285008 |  Nombre o Razón Social: CENTRO DE TERAPIAS ALTERNATIVAS JOSE CELESTINO MUTIS SAS |  País: COLOMBIA |  Departamento: ANTIOQUIA |  Ciudad: MEDELLIN |  Dirección: CL 44 # 77 - 61 OF 301 |  Teléfono: 3005728513 |  E-mail: gerenciajcmsas@gmail.com |  Número de Folios : 0 |  Tipología: Apoyo Empresas |  Tipo de solicitud: Validacion de reporte |  Motivo: SOLICITUD |  Medio de recepción: Buzón Apoyo Empresas |  Estado del Proceso 1: Ok. Aprobado |  Resultado captura: Otras Solicitudes |  Requiere respuesta: No |  Radicado de Correspondencia Recibida: 02-2303-202203300445650 | "/>
  </r>
  <r>
    <x v="6"/>
    <n v="12327018"/>
    <s v="Normal"/>
    <s v="28-4604-202203260020113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4604-202203260020113 |  Número de Identificación: 41454992 |  Nombre o Razón Social: PERICO DE ALVAREZ MYRIAM |  País: COLOMBIA |  Departamento: BOGOTA |  Ciudad: BOGOTA |  Dirección: CONJ CALLE 114  NO. 0-45 AP 602 T. 2 |  Teléfono: 6290463 |  Número de Folios : 6 |  Tipología: Novedades Aportes de Cesantias |  Radicado de Correspondencia Recibida: 02-4604-202203260422635 | "/>
  </r>
  <r>
    <x v="6"/>
    <n v="12330938"/>
    <s v="Normal"/>
    <s v="28-4601-202203230019501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4601-202203230019501 |  Número de Identificación: 1110470366 |  Nombre o Razón Social: YENIFER ANDREA MALAGON VELASQUEZ |  País: COLOMBIA |  Departamento: BOGOTA |  Ciudad: BOGOTA |  Dirección: TV 97A # 2-70 TRR 11 APTO 308 |  Teléfono: 3144176802 |  E-mail: andremalagonv@gmail.com |  Número de Folios : 3 |  Tipología: Novedades Aportes de Cesantias |  Radicado de Correspondencia Recibida: 02-4601-202203230402575 | "/>
  </r>
  <r>
    <x v="6"/>
    <n v="12334118"/>
    <s v="Normal"/>
    <s v="28-4903-202203300020736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4903-202203300020736 |  Número de Identificación: 8911800091 |  Nombre o Razón Social: ALCALDIA MUNICIPAL DE NEIVA |  País: COLOMBIA |  Departamento: HUILA |  Ciudad: NEIVA |  Dirección: CL 9 - 9 - 74 |  Teléfono: 8711041 |  E-mail: NOTIENE@GMAIL.COM |  Número de Folios : 1 |  Tipología: Planilla Manual |  Radicado de Correspondencia Recibida: 02-4903-202203300444865 | "/>
  </r>
  <r>
    <x v="2"/>
    <n v="12329211"/>
    <s v="Normal"/>
    <s v="28-2303-202203310020901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310020901 |  Número de Identificación: 9005260859 |  Nombre o Razón Social: EQUIPOS Y SERVICIOS TREX DE COLOMBIA SAS |  País: COLOMBIA |  Departamento: BOGOTA |  Ciudad: BOGOTA |  Dirección: CL 10 # 39 - 06 BOD 4 |  Teléfono: 3827956 |  E-mail: maria.arroyo@equipostrex.com |  Número de Folios : 0 |  Tipología: Apoyo Empresas |  Tipo de solicitud: Validacion de reporte |  Motivo: RADICAR EQUIPOS Y SERVICIOS TREX DE COLOMBIA SAS NIT 9005260859 |  Medio de recepción: Buzón Apoyo Empresas |  Requiere Modificación: No |  Tipo de Modificación: No Aplica |  Tipo de Empresa: Privada |  Tipo de Novedad: No Monetaria |  Estado del Proceso 1: Ok. Aprobado |  Usuario Responsable: Oscar Ramiro Reyes Prada |  Resultado captura: Otras Solicitudes |  Respuesta procesamiento Cobis: Correo Electronico |  Requiere respuesta: No |  Radicado de Correspondencia Recibida: 02-2303-202203310450152 | "/>
  </r>
  <r>
    <x v="0"/>
    <n v="12335685"/>
    <s v="Normal"/>
    <s v="28-2303-202203310020957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2303-202203310020957 |  Número de Identificación: 9007255480 |  Nombre o Razón Social: COSECHAS POBLADO SAS |  País: COLOMBIA |  Departamento: ANTIOQUIA |  Ciudad: MEDELLIN |  Dirección: 0 |  Teléfono: 0 |  E-mail: sandris19@gmail.com |  Número de Folios : 0 |  Tipología: Apoyo Empresas |  Tipo de solicitud: Validacion de reporte |  Motivo: Correccion de consignacion cesantias  |  Medio de recepción: Buzón Apoyo Empresas |  Radicado de Correspondencia Recibida: 02-2303-202203310453612 | "/>
  </r>
  <r>
    <x v="6"/>
    <n v="12335718"/>
    <s v="Normal"/>
    <s v="28-4903-202203300020738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4903-202203300020738 |  Número de Identificación: 8911800091 |  Nombre o Razón Social: ALCALDIA MUNICIPAL DE NEIVA |  País: COLOMBIA |  Departamento: HUILA |  Ciudad: NEIVA |  Dirección: CL 9 - 9 - 74 |  Teléfono: 8711041 |  E-mail: NOTIENE@GMAIL.COM |  Número de Folios : 2 |  Tipología: Planilla Manual |  Radicado de Correspondencia Recibida: 02-4903-202203300444899 | "/>
  </r>
  <r>
    <x v="0"/>
    <n v="12337045"/>
    <s v="Normal"/>
    <s v="28-4704-202203310020984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4704-202203310020984 |  Número de Identificación: 1031141619 |  Nombre o Razón Social: MARTIN BOLAï¿½OS JEAN PIERRTE |  País: COLOMBIA |  Departamento: QUINDIO |  Ciudad: ARMENIA |  Dirección: SEC GUADUALES DE LA VILLA # 34 MZ 3 |  Teléfono: 3192195660 |  Número de Folios : 2 |  Tipología: Novedades Aportes de Cesantias |  Radicado de Correspondencia Recibida: 02-4704-202203310455829 | "/>
  </r>
  <r>
    <x v="6"/>
    <n v="12337132"/>
    <s v="Normal"/>
    <s v="28-2303-202203230019376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2303-202203230019376 |  Número de Identificación: 9011104074 |  Nombre o Razón Social: PROYECTO E SAS |  País: COLOMBIA |  Departamento: BOGOTA |  Ciudad: BOGOTA |  Dirección: CR 68 G # 74 B - 56 |  Teléfono: 0 |  Número de Folios : 0 |  Tipología: Apoyo Empresas |  Estado del Proceso 1: Ok. Aprobado |  Resultado captura: Otras Solicitudes |  Requiere respuesta: No |  Radicado de Correspondencia Recibida: 02-2303-202203230397892 | "/>
  </r>
  <r>
    <x v="0"/>
    <n v="12337833"/>
    <s v="Normal"/>
    <s v="28-4803-202203310020970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4803-202203310020970 |  Número de Identificación: 1085292883 |  Nombre o Razón Social: BOTINA TEZ JOHN |  País: COLOMBIA |  Departamento: NARIÑO |  Ciudad: PASTO |  Dirección: CASA OD1 BUESAQUILLO |  Teléfono: 3145190512 |  Número de Folios : 3 |  Tipología: Novedades Aportes de Cesantias |  Radicado de Correspondencia Recibida: 02-4803-202203310454344 | "/>
  </r>
  <r>
    <x v="3"/>
    <n v="12327992"/>
    <s v="Devolución"/>
    <s v="28-2303-202203250020069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2303-202203250020069 |  Número de Identificación: 9007517312 |  Nombre o Razón Social: CIRUVASCULAR SAS |  País: COLOMBIA |  Departamento: ANTIOQUIA |  Ciudad: MEDELLIN |  Dirección: CALLE 40 # 65 67  |  Teléfono: 2656588 |  E-mail: distribuidorapicasso@gmail.com |  Número de Folios : 0 |  Tipología: Planilla Manual |  Requiere Modificación: Si |  Tipo de Modificación: Disponible |  Tipo de Empresa: Privada |  Tipo de Novedad: Monetaria |  Estado del Proceso 1: Ok. Aprobado |  Usuario Responsable: Oscar Ramiro Reyes Prada |  Estado del Proceso 3: Dev. Devuelto |  Causal de Devolución PNC de Cara al Tercero 2: Inconsistencias en el Formato |  Respuesta procesamiento Cobis: Correo Electronico |  Requiere respuesta: No |  Radicado de Correspondencia Recibida: 02-2303-202203250421738 | "/>
  </r>
  <r>
    <x v="2"/>
    <n v="12329621"/>
    <s v="Normal"/>
    <s v="28-2303-202203310020940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310020940 |  Número de Identificación: 147354022 |  Nombre o Razón Social: VIVAS BARRETO MARCO ANTONIO |  País: COLOMBIA |  Departamento: BOGOTA |  Ciudad: BOGOTA |  Dirección: CARRERA 81 F # 19 18 |  Teléfono: 3219924253 |  E-mail: VIVASMARCO11@GMAIL.COM |  Número de Folios : 0 |  Tipología: Novedades Aportes de Cesantias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310451879 | "/>
  </r>
  <r>
    <x v="2"/>
    <n v="12330377"/>
    <s v="Normal"/>
    <s v="28-2303-202203310020943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310020943 |  Número de Identificación: 41666706 |  Nombre o Razón Social: GARZON DE HERRERA  MARIA |  País: COLOMBIA |  Departamento: BOGOTA |  Ciudad: BOGOTA |  Dirección: AV CL 100 #64-51 AP 1304 TORRE1 |  Teléfono: 7518524 |  E-mail: dominio@dominio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Respuesta procesamiento Cobis: Correo Electronico |  Radicado de Correspondencia Recibida: 02-2303-202203310452276 | "/>
  </r>
  <r>
    <x v="2"/>
    <n v="12327544"/>
    <s v="Normal"/>
    <s v="28-2303-202203310020906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310020906 |  Número de Identificación: 1020836343 |  Nombre o Razón Social: MELO  SUAREZ FELIPE STEVEN |  País: COLOMBIA |  Departamento: BOGOTA |  Ciudad: BOGOTA |  Dirección: CR 140 B # 131 - 10 |  Teléfono: 3219934859 |  E-mail: pipemeli17@gmail.com |  Número de Folios : 0 |  Tipología: Novedades Aportes de Cesantias |  Requiere Modificación: No |  Tipo de Modificación: No Aplica |  Tipo de Empresa: Privada |  Tipo de Novedad: No Monetaria |  Estado del Proceso 1: Ok. Aprobado |  Usuario Responsable: Breidy Julieth Quiroga Noguera |  Respuesta procesamiento Cobis: Correo Electronico |  Radicado de Correspondencia Recibida: 02-2303-202203310450313 | "/>
  </r>
  <r>
    <x v="2"/>
    <n v="12330254"/>
    <s v="Normal"/>
    <s v="28-4805-202203300020677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4805-202203300020677 |  Número de Identificación: 94486077 |  Nombre o Razón Social: GUTIERREZ  CARLOS ALBERTO |  País: COLOMBIA |  Departamento: VALLE DEL CAUCA |  Ciudad: CALI |  Dirección: CL 54B 48B 40 |  Teléfono: 3045729866 |  E-mail: CARLOS04081976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4805-202203300442697 | "/>
  </r>
  <r>
    <x v="2"/>
    <n v="12331737"/>
    <s v="Normal"/>
    <s v="28-2303-202203310020944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310020944 |  Número de Identificación: 9005260859 |  Nombre o Razón Social: EQUIPOS Y SERVICIOS TREX DE COLOMBIA SAS |  País: COLOMBIA |  Departamento: BOGOTA |  Ciudad: BOGOTA |  Dirección: CL 10 #39-06 BOD 4 |  Teléfono: 3827956 |  E-mail: maria.arroyo@equipostrex.com |  Número de Folios : 1 |  Tipología: Cargue de Aportes Entidades Publicas Y Privadas y/o Modificacion de Aportes o Disponible |  Requiere Modificación: No |  Tipo de Modificación: No Aplica |  Tipo de Empresa: Privada |  Tipo de Novedad: No Monetaria |  Estado del Proceso 1: Ok. Aprobado |  Usuario Responsable: Jhonier James Leon Guzman |  Respuesta procesamiento Cobis: Correo Electronico |  Radicado de Correspondencia Recibida: 02-2303-202203310452492 | "/>
  </r>
  <r>
    <x v="2"/>
    <n v="12330565"/>
    <s v="Normal"/>
    <s v="28-4903-202203300020740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4903-202203300020740 |  Número de Identificación: 1075221543 |  Nombre o Razón Social: CUELLAR ROJAS EDISSON JAVIER |  País: COLOMBIA |  Departamento: HUILA |  Ciudad: NEIVA |  Dirección: CL 18 # H SUR |  Teléfono: 3102283641 |  E-mail: EDISONJAMER@G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4903-202203300444920 | "/>
  </r>
  <r>
    <x v="2"/>
    <n v="12332664"/>
    <s v="Normal"/>
    <s v="28-2303-202203240019906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240019906 |  Número de Identificación: 8020042043 |  Nombre o Razón Social: MEDICINA DEPORTIVA Y REHABILITACION LTDA CEMEDER CEMEDER |  País: COLOMBIA |  Departamento: ATLANTICO |  Ciudad: BARRANQUILLA |  Dirección: CR 47 # 81 - 33 |  Teléfono: 3786699 |  E-mail: administracion@cemeder.com |  Número de Folios : 0 |  Tipología: Apoyo Empresas |  Tipo de solicitud: Validacion de reporte |  Motivo: RV: MEDICINA DEPORTIVA Y REHABILITACION LTDA CEMEDER C - 8020042043 - Solicitud de soporte |  Medio de recepción: Buzón Apoyo Empresas |  Requiere Modificación: No |  Tipo de Modificación: No Aplica |  Tipo de Empresa: Privada |  Tipo de Novedad: Correccion de Nombre sin Formato |  Estado del Proceso 1: Ok. Aprobado |  Usuario Responsable: Jhonier James Leon Guzman |  Resultado captura: Otras Solicitudes |  Respuesta procesamiento Cobis: Correo Electronico |  Estado del Proceso 5: Ok. Aprobado |  Causal de Devolución PNC: Correcto |  Requiere respuesta: Si |  Radicado de Correspondencia Recibida: 02-2303-202203240413758 | "/>
  </r>
  <r>
    <x v="2"/>
    <n v="12331603"/>
    <s v="Normal"/>
    <s v="28-4603-202203290020467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4603-202203290020467 |  Número de Identificación: 901331750 |  Nombre o Razón Social: MEDINA GOLDEN SAS |  País: COLOMBIA |  Departamento: BOGOTA |  Ciudad: BOGOTA |  Dirección: CR 10 # 18 - 61 PS 2 |  Teléfono: 3414576 |  E-mail: opticamedina@hotmail.com |  Número de Folios : 2 |  Tipología: Planilla Manual |  Requiere Modificación: No |  Tipo de Modificación: No Aplica |  Tipo de Empresa: Privada |  Tipo de Novedad: Monetaria |  Estado del Proceso 1: Ok. Aprobado |  Usuario Responsable: Breidy Julieth Quiroga Noguera |  Respuesta procesamiento Cobis: Correo Electronico |  Requiere respuesta: No |  Radicado de Correspondencia Recibida: 02-4603-202203290436217 | "/>
  </r>
  <r>
    <x v="2"/>
    <n v="12332369"/>
    <s v="Normal"/>
    <s v="28-2303-202203310020959"/>
    <x v="12"/>
    <d v="2022-04-07T00:00:00"/>
    <d v="2022-04-04T00:00:00"/>
    <n v="3"/>
    <s v="MARZO"/>
    <s v="EN GESTIÓN"/>
    <x v="7"/>
    <x v="1"/>
    <x v="2"/>
    <s v=""/>
    <x v="0"/>
    <x v="2"/>
    <s v="Asistentes FNA - Ejecución Novedad"/>
    <s v="Radicado: 28-2303-202203310020959 |  Número de Identificación: 1116270472 |  Nombre o Razón Social: JOHAN STEVEN VARGAS |  País: COLOMBIA |  Departamento: VALLE DEL CAUCA |  Ciudad: RESTREPO |  Dirección: CR 34A # 41-47 |  Teléfono: 6000000 |  E-mail: JOHAN-ROJAS@HOTMAIL.ES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Respuesta procesamiento Cobis: Correo Electronico |  Radicado de Correspondencia Recibida: 02-2303-202203310453637 | "/>
  </r>
  <r>
    <x v="5"/>
    <n v="12330112"/>
    <s v="Reasignación"/>
    <s v="28-4701-202203300020703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701-202203300020703 |  Número de Identificación: 1036648534 |  Nombre o Razón Social: LONDONO AGUDELO JOHANA |  País: COLOMBIA |  Departamento: ANTIOQUIA |  Ciudad: MEDELLIN |  Dirección: CL 58 # 5 E 27 IN 123 CAICEDO |  Teléfono: 3118879117 |  E-mail: JOHANAL40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1-202203300443686 | "/>
  </r>
  <r>
    <x v="5"/>
    <n v="12331087"/>
    <s v="Reasignación"/>
    <s v="28-4601-202203230019502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601-202203230019502 |  Número de Identificación: 1010200312 |  Nombre o Razón Social: LOSADA MONJE JAIRO ANDRES |  País: COLOMBIA |  Departamento: BOGOTA |  Ciudad: BOGOTA |  Dirección: CL 40 # 22-34 |  Teléfono: 3192087968 |  E-mail: JAIR.LOSADA@HOT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601-202203230402585 | "/>
  </r>
  <r>
    <x v="5"/>
    <n v="12337640"/>
    <s v="Reasignación"/>
    <s v="28-4706-202203310020893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706-202203310020893 |  Número de Identificación: 1095938486 |  Nombre o Razón Social: BAUTISTA LOAIZA JHONNATHAN |  País: COLOMBIA |  Departamento: SANTANDER |  Ciudad: BUCARAMANGA |  Dirección: CL 22 # 17-140 |  Teléfono: 3175236170 |  E-mail: JHONNATANBAUTISTA800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706-202203310449881 | "/>
  </r>
  <r>
    <x v="5"/>
    <n v="12337611"/>
    <s v="Reasignación"/>
    <s v="28-4604-202203310020979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604-202203310020979 |  Número de Identificación: 20472288 |  Nombre o Razón Social: ANAYA CHAVES MARIA  OLIVA |  País: COLOMBIA |  Departamento: BOGOTA |  Ciudad: BOGOTA |  Dirección: CR 1C #29-30 CASA |  Teléfono: 8615217 |  E-mail: N/A |  Número de Folios : 6 |  Tipología: Novedades Aportes de Cesantias |  Requiere Modificación: No |  Tipo de Modificación: No Aplica |  Tipo de Empresa: Privada |  Tipo de Novedad: Monetaria |  Estado del Proceso 1: Tramitado con Anterioridad |  Usuario Responsable: Ledher Julian Martin Sierra Cristancho |  Respuesta procesamiento Cobis: Correo Electronico |  Radicado de Correspondencia Recibida: 02-4604-202203310455431 | "/>
  </r>
  <r>
    <x v="5"/>
    <n v="12335512"/>
    <s v="Reasignación"/>
    <s v="28-4703-202203310020973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703-202203310020973 |  Número de Identificación: 10287426 |  Nombre o Razón Social: CASTAÑEDA LUIS CARLOS |  País: COLOMBIA |  Departamento: CALDAS |  Ciudad: MANIZALES |  Dirección: CR 31 #15A - 07 |  Teléfono: 8806009 |  E-mail: PELIGRO1.13@HOTMAIL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703-202203310454508 | "/>
  </r>
  <r>
    <x v="5"/>
    <n v="12327537"/>
    <s v="Reasignación"/>
    <s v="28-4804-202203250019995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804-202203250019995 |  Número de Identificación: 8903990113 |  Nombre o Razón Social: ALCALDIA MUNICIPAL DE SANTIAGO DE CALI |  País: COLOMBIA |  Departamento: VALLE DEL CAUCA |  Ciudad: CALI |  Dirección: CAM TORRE ALCALDIA PSO 15 |  Teléfono: 6617249 |  E-mail: harold.ceron@cali.gov.co |  Número de Folios : 5 |  Tipología: Novedades Aportes de Cesantias |  Requiere Modificación: No |  Tipo de Modificación: No Aplica |  Tipo de Empresa: Publica |  Tipo de Novedad: No Monetaria |  Estado del Proceso 1: Tramitado con Anterioridad |  Usuario Responsable: Oscar Ramiro Reyes Prada |  Estado del Proceso 2: Ok. Aprobado |  Respuesta procesamiento Cobis: Correo Electronico |  Radicado de Correspondencia Recibida: 02-4804-202203250419013 | "/>
  </r>
  <r>
    <x v="5"/>
    <n v="12328007"/>
    <s v="Reasignación"/>
    <s v="28-2303-202203310020918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18 |  Número de Identificación: 52429995 |  Nombre o Razón Social: ESPARZA CALDERON DIANA P |  País: COLOMBIA |  Departamento: BOGOTA |  Ciudad: BOGOTA |  Dirección: CR 45 # 56 - 44 APTO 404 |  Teléfono: 3012477075 |  E-mail: DIANAESPARZA@HOTMAIL.COM |  Número de Folios : 0 |  Tipología: Novedades Aportes de Cesantias |  Requiere Modificación: No |  Tipo de Modificación: No Aplica |  Tipo de Empresa: Privada |  Tipo de Novedad: Correccion de Nombre sin Formato |  Estado del Proceso 1: Dev. Devuelto |  Causal de Devolución PNC de Cara al Cliente: Documentación Incompleta o Inconsistente |  Usuario Responsable: Breidy Julieth Quiroga Noguera |  Respuesta procesamiento Cobis: Correo Electronico |  Radicado de Correspondencia Recibida: 02-2303-202203310450696 | "/>
  </r>
  <r>
    <x v="5"/>
    <n v="12328045"/>
    <s v="Reasignación"/>
    <s v="28-2303-202203310020919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19 |  Número de Identificación: 52070512 |  Nombre o Razón Social: BERNAL CAMARGO DELIA DEL |  País: COLOMBIA |  Departamento: BOGOTA |  Ciudad: BOGOTA |  Dirección: CR 76 B # 90 A - 36 BARRIO LA SERENA |  Teléfono: 3102746663 |  E-mail: DELIA.BERNAL@COMPUDIEZ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50725 | "/>
  </r>
  <r>
    <x v="5"/>
    <n v="12332078"/>
    <s v="Reasignación"/>
    <s v="28-2303-202203310020952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52 |  Número de Identificación: 37543548 |  Nombre o Razón Social: CARREÑO FUENTES MARIA TERESA |  País: COLOMBIA |  Departamento: BOGOTA |  Ciudad: BOGOTA |  Dirección: NA |  Teléfono: NA |  E-mail: dominio@dominio.com |  Número de Folios : 1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3310453497 | "/>
  </r>
  <r>
    <x v="5"/>
    <n v="12328504"/>
    <s v="Reasignación"/>
    <s v="28-2303-202203310020932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32 |  Número de Identificación: 8923012915 |  Nombre o Razón Social: VIVA BIEN SAS |  País: COLOMBIA |  Departamento: CESAR |  Ciudad: VALLEDUPAR |  Dirección: CR 10 # 16 B - 43 |  Teléfono: 5743548 |  E-mail: anapaz@mayales.com |  Número de Folios : 0 |  Tipología: Novedades Aportes de Cesantias |  Requiere Modificación: No |  Tipo de Modificación: No Aplica |  Tipo de Empresa: Privad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10451081 | "/>
  </r>
  <r>
    <x v="5"/>
    <n v="12330415"/>
    <s v="Reasignación"/>
    <s v="28-4805-202203300020804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805-202203300020804 |  Número de Identificación: 10306267 |  Nombre o Razón Social: CAMPO BOLANOS JOSE MAURICIO |  País: COLOMBIA |  Departamento: VALLE DEL CAUCA |  Ciudad: CALI |  Dirección: CR 43 96C 07 |  Teléfono: 3108576642 |  E-mail: JOSMAUN1985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Estado del Proceso 3: Ok. Aprobado |  Respuesta procesamiento Cobis: Correo Electronico |  Radicado de Correspondencia Recibida: 02-4805-202203300447045 | "/>
  </r>
  <r>
    <x v="5"/>
    <n v="12330426"/>
    <s v="Reasignación"/>
    <s v="28-4805-202203300020821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805-202203300020821 |  Número de Identificación: 31330642 |  Nombre o Razón Social: LULICO GOMEZ DELKA SIRLEY |  País: COLOMBIA |  Departamento: VALLE DEL CAUCA |  Ciudad: CALI |  Dirección: CR 49C # 54-96 |  Teléfono: 3117961504 |  E-mail: DESILUGO8@HOT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805-202203300447524 | "/>
  </r>
  <r>
    <x v="5"/>
    <n v="12331303"/>
    <s v="Reasignación"/>
    <s v="28-2303-202203310020947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47 |  Número de Identificación: 1089001012 |  Nombre o Razón Social: LUIS CARLOS CALENTIERRA FRANCO |  País: COLOMBIA |  Departamento: NARIÑO |  Ciudad: MOSQUERA |  Dirección: AV LOS ESTUDIANTES CS 11 - 2 |  Teléfono: 3102348736 |  E-mail: luiscarosidsn@gmail.com |  Número de Folios : 0 |  Tipología: Novedades Aportes de Cesantias |  Requiere Modificación: No |  Tipo de Modificación: No Aplica |  Tipo de Empresa: Publica |  Tipo de Novedad: Correccion de Nombre sin Formato |  Estado del Proceso 1: Ok. Aprobado |  Usuario Responsable: Oscar Ramiro Reyes Prada |  Estado del Proceso 3: Ok. Aprobado |  Respuesta procesamiento Cobis: Correo Electronico |  Radicado de Correspondencia Recibida: 02-2303-202203310452954 | "/>
  </r>
  <r>
    <x v="5"/>
    <n v="12332740"/>
    <s v="Reasignación"/>
    <s v="28-4601-202203230019544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601-202203230019544 |  Número de Identificación: 1018443681 |  Nombre o Razón Social: LEON SANABRIA JHON FREDY |  País: COLOMBIA |  Departamento: BOGOTA |  Ciudad: BOGOTA |  Dirección: CR 89B #40-25  SUR patio bonito |  Teléfono: 3102690165 |  E-mail: JHON.LEON30@HOTMAIL.ES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230403837 | "/>
  </r>
  <r>
    <x v="5"/>
    <n v="12337014"/>
    <s v="Reasignación"/>
    <s v="28-4703-202203310020981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4703-202203310020981 |  Número de Identificación: 1053874857 |  Nombre o Razón Social: MELENDEZ LONDONO LEONARDO JAVIER |  País: COLOMBIA |  Departamento: CALDAS |  Ciudad: MANIZALES |  Dirección: CALLE 96 35A 03 |  Teléfono: 3128135963 |  E-mail: LEONARDOJAVIERMELENDEZ82@G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3-202203310455691 | "/>
  </r>
  <r>
    <x v="5"/>
    <n v="12327761"/>
    <s v="Reasignación"/>
    <s v="28-2303-202203300020768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00020768 |  Número de Identificación: 90038770010 |  Nombre o Razón Social: LABORATORIO DE COSMETICOS LIDER OM SAS  |  País: COLOMBIA |  Departamento: TOLIMA |  Ciudad: IBAGUE |  Dirección: CRA 12 N 37-04 |  Teléfono: 3127916005 |  E-mail: COSMETICOSLIDER_OM@HOTMAIL.COM |  Número de Folios : 0 |  Tipología: Planilla Manual |  Requiere Modificación: No |  Tipo de Modificación: No Aplica |  Tipo de Empresa: Privada |  Tipo de Novedad: Monetaria |  Estado del Proceso 1: Tramitado con Anterioridad |  Usuario Responsable: Ledher Julian Martin Sierra Cristancho |  Estado del Proceso 2: Ok. Aprobado |  Respuesta procesamiento Cobis: Correo Electronico |  Requiere respuesta: No |  Radicado de Correspondencia Recibida: 02-2303-202203300445665 | "/>
  </r>
  <r>
    <x v="5"/>
    <n v="12338655"/>
    <s v="Reasignación"/>
    <s v="28-2303-202204010020996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4010020996 |  Número de Identificación: 8999991022 |  Nombre o Razón Social: FUERZA AEREA COLOMBIANA FAC |  País: COLOMBIA |  Departamento: BOGOTA |  Ciudad: BOGOTA |  Dirección: CR 52 AV EL DORADO OF 311 CAN |  Teléfono: 3150111 |  E-mail: NOHORA.LATORRES@FAC.MIL.CO |  Número de Folios : 1 |  Tipología: Cargue de Aportes Entidades Publicas Y Privadas y/o Modificacion de Aportes o Disponible |  Requiere Modificación: No |  Tipo de Modificación: No Aplica |  Tipo de Empresa: Publica |  Tipo de Novedad: Autorizacion TVA |  Estado del Proceso 1: Tramitado con Anterioridad |  Usuario Responsable: Ledher Julian Martin Sierra Cristancho |  Respuesta procesamiento Cobis: Correo Electronico |  Requiere respuesta: Si |  Radicado de Correspondencia Recibida: 02-2303-202204010457468 | "/>
  </r>
  <r>
    <x v="5"/>
    <n v="12335951"/>
    <s v="Reasignación"/>
    <s v="28-2303-202203310020991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91 |  Número de Identificación: 52427309 |  Nombre o Razón Social: MUÑOZ LABAJOS NATALIA ALEXANDRA |  País: COLOMBIA |  Departamento: BOGOTA |  Ciudad: BOGOTA |  Dirección: N/A |  Teléfono: N/A |  E-mail: nosoriov@deaj.ramajudicial.gov.co |  Número de Folios : 1 |  Tipología: Novedades Aportes de Cesantias |  Motivo: Corrección cédula y y reversar valor que se encuentra en el número de cc  7144602  por $8.840.237 y depositarlo en la cuenta de la entidad |  Requiere Modificación: No |  Tipo de Modificación: No Aplica |  Tipo de Empresa: Publica |  Tipo de Novedad: No Monetaria |  Estado del Proceso 1: Ok. Aprobado |  Usuario Responsable: Ledher Julian Martin Sierra Cristancho |  Estado del Proceso 3: Ok. Aprobado |  Respuesta procesamiento Cobis: Correo Electronico |  Radicado de Correspondencia Recibida: 02-2303-202203310456283 | "/>
  </r>
  <r>
    <x v="5"/>
    <n v="12327607"/>
    <s v="Reasignación"/>
    <s v="28-2303-202203310020910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910 |  Número de Identificación: 1070989594 |  Nombre o Razón Social: RONDON AGUDELO DANIEL ALEJANDR |  País: COLOMBIA |  Departamento: BOGOTA |  Ciudad: BOGOTA |  Dirección: CR 5 # 2-213 |  Teléfono: 1 |  E-mail: danielrondon1103@gmail.com |  Número de Folios : 1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Estado del Proceso 3: Ok. Aprobado |  Respuesta procesamiento Cobis: Correo Electronico |  Radicado de Correspondencia Recibida: 02-2303-202203310450366 | "/>
  </r>
  <r>
    <x v="5"/>
    <n v="12326896"/>
    <s v="Reasignación"/>
    <s v="28-2303-202203310020891"/>
    <x v="12"/>
    <d v="2022-04-07T00:00:00"/>
    <d v="2022-04-04T00:00:00"/>
    <n v="3"/>
    <s v="MARZO"/>
    <s v="EN GESTIÓN"/>
    <x v="7"/>
    <x v="1"/>
    <x v="1"/>
    <s v=""/>
    <x v="0"/>
    <x v="1"/>
    <s v="Respuesta Asistentes FNA"/>
    <s v="Radicado: 28-2303-202203310020891 |  Número de Identificación: 43204384 |  Nombre o Razón Social: CUARTAS VILLEGAS GLADYS  ESTELLA |  País: COLOMBIA |  Departamento: ANTIOQUIA |  Ciudad: MEDELLIN |  Dirección: CR 25 B # 37 - 47 |  Teléfono: 3002500383 |  E-mail: GLADYSVILLEGAS2009@HOTMAIL.ES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Breidy Julieth Quiroga Noguera |  Estado del Proceso 3: Ok. Aprobado |  Respuesta procesamiento Cobis: Correo Electronico |  Radicado de Correspondencia Recibida: 02-2303-202203310449790 | "/>
  </r>
  <r>
    <x v="7"/>
    <n v="12329937"/>
    <s v="Normal"/>
    <s v="28-2303-202203300020681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2303-202203300020681 |  Número de Identificación: 8920992166 |  Nombre o Razón Social: GOBERNACION DEL CASANARE |  País: COLOMBIA |  Departamento: CASANARE |  Ciudad: YOPAL |  Dirección: CR 19 # 6 100 |  Teléfono: 6357761 |  Número de Folios : 1 |  Tipología: Novedades Aportes de Cesantias |  Radicado de Correspondencia Recibida: 02-2303-202203300442759 | "/>
  </r>
  <r>
    <x v="4"/>
    <n v="12329937"/>
    <s v="Visto bueno"/>
    <s v="28-2303-202203300020681"/>
    <x v="12"/>
    <d v="2022-04-07T00:00:00"/>
    <d v="2022-04-04T00:00:00"/>
    <n v="3"/>
    <s v="MARZO"/>
    <s v="EN GESTIÓN"/>
    <x v="7"/>
    <x v="1"/>
    <x v="3"/>
    <s v=""/>
    <x v="0"/>
    <x v="0"/>
    <s v="Asistentes FNA"/>
    <s v="Radicado: 28-2303-202203300020681 |  Número de Identificación: 8920992166 |  Nombre o Razón Social: GOBERNACION DEL CASANARE |  País: COLOMBIA |  Departamento: CASANARE |  Ciudad: YOPAL |  Dirección: CR 19 # 6 100 |  Teléfono: 6357761 |  Número de Folios : 1 |  Tipología: Novedades Aportes de Cesantias |  Radicado de Correspondencia Recibida: 02-2303-202203300442759 | "/>
  </r>
  <r>
    <x v="8"/>
    <n v="12337257"/>
    <s v="Normal"/>
    <s v="28-4708-202203310020972"/>
    <x v="12"/>
    <d v="2022-04-07T00:00:00"/>
    <d v="2022-04-04T00:00:00"/>
    <n v="3"/>
    <s v="MARZO"/>
    <s v="EN GESTIÓN"/>
    <x v="7"/>
    <x v="1"/>
    <x v="3"/>
    <s v=""/>
    <x v="2"/>
    <x v="0"/>
    <s v="Asistentes FNA"/>
    <s v="Radicado: 28-4708-202203310020972 |  Número de Identificación: 1121926369 |  Nombre o Razón Social: GOMEZ BANGUERO CARLOS ANDRES |  País: COLOMBIA |  Departamento: META |  Ciudad: VILLAVICENCIO |  Dirección: CL 59 # 43-06 PORFIA |  Teléfono: 3015123970 |  E-mail: andresbangueroo@outlook.com |  Número de Folios : 3 |  Tipología: Novedades AVC Monetarias |  Radicado de Correspondencia Recibida: 02-4708-202203310454465 | "/>
  </r>
  <r>
    <x v="8"/>
    <n v="12325605"/>
    <s v="Visto bueno"/>
    <s v="04-4708-202203300016618"/>
    <x v="12"/>
    <d v="2022-04-07T00:00:00"/>
    <d v="2022-04-04T00:00:00"/>
    <n v="3"/>
    <s v="MARZO"/>
    <s v="EN GESTIÓN"/>
    <x v="7"/>
    <x v="1"/>
    <x v="3"/>
    <s v=""/>
    <x v="3"/>
    <x v="0"/>
    <s v="Gestor de Reparto"/>
    <s v="Radicado: 04-4708-202203300016618 |  ¿Requiere que la petición sea anónima?: NO |  Tipo de documento: CEDULA DE CIUDADANIA |  Número de documento: 1032483956 |  Apellidos y Nombres: AGUDELO CENDALES MONICA LUCIA |  Género: Femenino |  Pais de residencia: COLOMBIA |  Departamento de residencia: META |  Ciudad de residencia: VILLAVICENCIO |  Dirección: CL 80 # 118  30 |  Teléfono Móvil: 3152027840 |  Autoriza el envío de la respuesta a su correo electrónico: SI |  Correo Electrónico: LUCIAAGUDELO@OUTLOOK.COM |  Tipo de población: Cliente |  Tipo de petición: Escoja una opción |  Tipologia: PQRS |  Descripción de la petición: SOLICITUD |  Medio Recepción: Correspondencia |  Nivel de respuesta: Escoja una opción |  Area responsable: Escoja una opción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708-202203300442302 |  Radicado respuesta:  |  Radicado respuesta Parcial:  |  Tipología (Homologada): PQRS |  Tipo Petición (Homologada): Escoja una opción | "/>
  </r>
  <r>
    <x v="0"/>
    <n v="12341906"/>
    <s v="Normal"/>
    <s v="28-2303-202204010021028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028 |  Número de Identificación: 8919021381 |  Nombre o Razón Social: CASA GRAJALES SA CASA GRAJALES SA |  País: COLOMBIA |  Departamento: VALLE DEL CAUCA |  Ciudad: LA UNION |  Dirección: FACTORIA LA RIVERA |  Teléfono: 3123951845 |  E-mail: Esmeralda-Naty@hotmail.com |  Número de Folios : 0 |  Tipología: Devolucion de Aportes |  Radicado de Correspondencia Recibida: 02-2303-202204010460128 | "/>
  </r>
  <r>
    <x v="6"/>
    <n v="12342406"/>
    <s v="Normal"/>
    <s v="28-2303-202204010021039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039 |  Número de Identificación: 9003446594 |  Nombre o Razón Social: JMO INGENIERIA SAS |  País: COLOMBIA |  Departamento: VALLE DEL CAUCA |  Ciudad: CALI |  Dirección: Calle 14 C No.65 -120 Oficina 102-8 |  Teléfono: 3124332842 |  E-mail: JMOINGENIERIASAS@GMAIL.COM |  Número de Folios : 0 |  Tipología: Devolucion de Aportes |  Radicado de Correspondencia Recibida: 02-2303-202204010460531 | "/>
  </r>
  <r>
    <x v="0"/>
    <n v="12342663"/>
    <s v="Normal"/>
    <s v="28-2303-202204010021043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043 |  Número de Identificación: 8301107509 |  Nombre o Razón Social: SYS TECHNOLOGIES LTDA |  País: COLOMBIA |  Departamento: BOGOTA |  Ciudad: BOGOTA |  Dirección: CL 23 D #80 B 34 |  Teléfono: 7557329 |  E-mail: dir.contable@gruposys.com.co |  Número de Folios : 0 |  Tipología: Devolucion de Aportes |  Radicado de Correspondencia Recibida: 02-2303-202204010460715 | "/>
  </r>
  <r>
    <x v="6"/>
    <n v="12342875"/>
    <s v="Normal"/>
    <s v="28-2303-202204010021058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058 |  Número de Identificación: 9002397619 |  Nombre o Razón Social: ZUCOM S A  E S P |  País: COLOMBIA |  Departamento: BOGOTA |  Ciudad: BOGOTA |  Dirección: CR 43 B # 8 SUR - 10 |  Teléfono: 3218286 |  E-mail: mtangarife@zucom.co |  Número de Folios : 0 |  Tipología: Devolucion de Aportes |  Radicado de Correspondencia Recibida: 02-2303-202204010460899 | "/>
  </r>
  <r>
    <x v="0"/>
    <n v="12344261"/>
    <s v="Normal"/>
    <s v="28-2303-202204010021113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113 |  Número de Identificación: 901283595 |  Nombre o Razón Social: MAS QUALITY GROUP S A S |  País: COLOMBIA |  Departamento: ANTIOQUIA |  Ciudad: MEDELLIN |  Dirección: CR 66 #49 - 01 LOCAL 110 |  Teléfono: 3229145 |  E-mail: valeria.abogada.sos@gmail.com |  Número de Folios : 0 |  Tipología: Devolucion de Aportes |  Radicado de Correspondencia Recibida: 02-2303-202204010461425 | "/>
  </r>
  <r>
    <x v="6"/>
    <n v="12344392"/>
    <s v="Normal"/>
    <s v="28-4301-202204010021034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4301-202204010021034 |  Número de Identificación: 8002531679 |  Nombre o Razón Social: HOSPITAL UNIVERSITARIO CARI EMPRESA  SOCIAL DEL ESTADO |  País: COLOMBIA |  Departamento: ATLANTICO |  Ciudad: BARRANQUILLA |  Dirección: CL 57 #23-100 |  Teléfono: 3309000 |  E-mail: PROCESOLIQUIDATORIO.CARI@ESESENLIQUIDACIÓN.COM |  Número de Folios : 3 |  Tipología: Devolucion de Aportes |  Radicado de Correspondencia Recibida: 02-4301-202204010460327 | "/>
  </r>
  <r>
    <x v="0"/>
    <n v="12347832"/>
    <s v="Normal"/>
    <s v="28-2303-202204010021248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248 |  Número de Identificación: 8300912472 |  Nombre o Razón Social: CIA CONSULTORA  Y ADMINISTRADORA DE CARTERA CAC ABOGADOS LTDA |  País: COLOMBIA |  Departamento: BOGOTA |  Ciudad: BOGOTA |  Dirección: AV  28  39 B  03   09  BRR  LA SOLEDAD |  Teléfono: 1 |  E-mail: NOTIENE@HOTMAIL.COM |  Número de Folios : 1 |  Tipología: Devolucion de Aportes |  Radicado de Correspondencia Recibida: 02-2303-202204010464024 | "/>
  </r>
  <r>
    <x v="6"/>
    <n v="12348052"/>
    <s v="Normal"/>
    <s v="28-2303-202204010021253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253 |  Número de Identificación: 9006147008 |  Nombre o Razón Social: TV CABLE TELECOMUNICACIONES SAS |  País: COLOMBIA |  Departamento: NORTE DE SANTANDER |  Ciudad: OCAÑA |  Dirección: CL 22AN #2-106 |  Teléfono: 5705279 |  E-mail: NEQUE.8@HOTMAIL.COM |  Número de Folios : 0 |  Tipología: Devolucion de Aportes |  Radicado de Correspondencia Recibida: 02-2303-202204010464160 | "/>
  </r>
  <r>
    <x v="0"/>
    <n v="12349159"/>
    <s v="Normal"/>
    <s v="28-2303-202204010021278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278 |  Número de Identificación: 9006147008 |  Nombre o Razón Social: TV CABLE TELECOMUNICACIONES SAS |  País: COLOMBIA |  Departamento: NORTE DE SANTANDER |  Ciudad: OCAÑA |  Dirección: CL 22AN #2-106 |  Teléfono: 5705279 |  E-mail: NEQUE.8@HOTMAIL.COM |  Número de Folios : 0 |  Tipología: Devolucion de Aportes |  Radicado de Correspondencia Recibida: 02-2303-202204010464496 | "/>
  </r>
  <r>
    <x v="6"/>
    <n v="12349193"/>
    <s v="Normal"/>
    <s v="28-2303-202204010021282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282 |  Número de Identificación: 8001611286 |  Nombre o Razón Social: CONCEPTOS GRAFICOS LTDA |  País: COLOMBIA |  Departamento: CHOCO |  Ciudad: QUIBDO |  Dirección: CL 18 No. 13-36 |  Teléfono: 7443127 |  E-mail: conceptosgraficosarmenia@hotmail.com |  Número de Folios : 0 |  Tipología: Devolucion de Aportes |  Radicado de Correspondencia Recibida: 02-2303-202204010464516 | "/>
  </r>
  <r>
    <x v="0"/>
    <n v="12349241"/>
    <s v="Normal"/>
    <s v="28-2303-202204010021291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10021291 |  Número de Identificación: 9013528874 |  Nombre o Razón Social: LA RED ASESORA SOCIEDAD POR ACCIONES SIMPLIFICADA |  País: COLOMBIA |  Departamento: BOGOTA |  Ciudad: BOGOTA |  Dirección: Ak 80 No. 8 11 Of 3 512 |  Teléfono: 0 |  E-mail: laredasesorasas@gmail.com |  Número de Folios : 0 |  Tipología: Devolucion de Aportes |  Radicado de Correspondencia Recibida: 02-2303-202204010464545 | "/>
  </r>
  <r>
    <x v="6"/>
    <n v="12352665"/>
    <s v="Normal"/>
    <s v="28-2303-202204020021347"/>
    <x v="13"/>
    <d v="2022-04-08T00:00:00"/>
    <d v="2022-04-04T00:00:00"/>
    <n v="1"/>
    <s v="ABRIL"/>
    <s v="EN GESTIÓN"/>
    <x v="7"/>
    <x v="1"/>
    <x v="3"/>
    <s v=""/>
    <x v="1"/>
    <x v="0"/>
    <s v="Asistentes FNA"/>
    <s v="Radicado: 28-2303-202204020021347 |  Número de Identificación: 8140002508 |  Nombre o Razón Social: COLOMBIANA DE ESTRUCTURAS Y FORJA LTDA  |  País: COLOMBIA |  Departamento: NARIÑO |  Ciudad: PASTO |  Dirección: CR 1 # 3 - 105 CRR OBONUCO |  Teléfono: 3128324422 |  E-mail: info@ceforja.com |  Número de Folios : 0 |  Tipología: Devolucion de Aportes |  Radicado de Correspondencia Recibida: 02-2303-202204020467220 | "/>
  </r>
  <r>
    <x v="0"/>
    <n v="12341515"/>
    <s v="Normal"/>
    <s v="28-4903-20220331002098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903-202203310020982 |  Número de Identificación: 1075296657 |  Nombre o Razón Social: AMAR GARZCIA JUAN DAVID |  País: COLOMBIA |  Departamento: HUILA |  Ciudad: NEIVA |  Dirección: CL 11 # 4 - 05 |  Teléfono: 3238131026 |  E-mail: JDA_1221@HOTMAIL.COM |  Número de Folios : 2 |  Tipología: Novedades Aportes de Cesantias |  Radicado de Correspondencia Recibida: 02-4903-202203310455799 | "/>
  </r>
  <r>
    <x v="0"/>
    <n v="12343234"/>
    <s v="Normal"/>
    <s v="28-2303-20220401002107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076 |  Número de Identificación: 9002440793 |  Nombre o Razón Social: PARKING 18  LTDA |  País: COLOMBIA |  Departamento: BOGOTA |  Ciudad: BOGOTA |  Dirección: AK 20 # 120 - 14 OFI 101 |  Teléfono: 2439396 |  E-mail: morenosandoval-806@hotmail.com |  Número de Folios : 0 |  Tipología: Novedades Aportes de Cesantias |  Radicado de Correspondencia Recibida: 02-2303-202204010461105 | "/>
  </r>
  <r>
    <x v="6"/>
    <n v="12343353"/>
    <s v="Normal"/>
    <s v="28-2303-20220401002108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081 |  Número de Identificación: 7169886 |  Nombre o Razón Social: SANABRIA ARIAS RAMOS ASIS |  País: COLOMBIA |  Departamento: BOGOTA |  Ciudad: BOGOTA |  Dirección: CR 1 #11-01 SUR URB MILENIUM III |  Teléfono: 8785574 |  Número de Folios : 0 |  Tipología: Novedades Aportes de Cesantias |  Radicado de Correspondencia Recibida: 02-2303-202204010461142 | "/>
  </r>
  <r>
    <x v="0"/>
    <n v="12343843"/>
    <s v="Normal"/>
    <s v="28-2303-202203310020985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3310020985 |  Número de Identificación: 1074002976 |  Nombre o Razón Social: BERROCAL LARA RUBENDAVID |  País: COLOMBIA |  Departamento: CORDOBA |  Ciudad: MONTERIA |  Dirección: TRV 16 14 77 |  Teléfono: 3002113367 |  E-mail: RUDAB95@GMAIL.COM |  Número de Folios : 2 |  Tipología: Novedades Aportes de Cesantias |  Radicado de Correspondencia Recibida: 02-2303-202203310455978 | "/>
  </r>
  <r>
    <x v="6"/>
    <n v="12343846"/>
    <s v="Normal"/>
    <s v="28-2303-20220331002098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3310020986 |  Número de Identificación: 1054559718 |  Nombre o Razón Social: OSPINA SALDANA MIGUEL ANGEL |  País: COLOMBIA |  Departamento: CALDAS |  Ciudad: LA DORADA |  Dirección: CRA 5A 39 171 PITALITO  |  Teléfono: 3137849408 |  E-mail: MIGUEL.OSPINA90@GMAIL.COM |  Número de Folios : 2 |  Tipología: Novedades Aportes de Cesantias |  Radicado de Correspondencia Recibida: 02-2303-202203310455994 | "/>
  </r>
  <r>
    <x v="0"/>
    <n v="12343853"/>
    <s v="Normal"/>
    <s v="28-2303-202203310020989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3310020989 |  Número de Identificación: 1056931798 |  Nombre o Razón Social: MOYANO SUAREZ DANIELANTONIO |  País: COLOMBIA |  Departamento: CORDOBA |  Ciudad: MONTERIA |  Dirección: NA |  Teléfono: 3224663429 |  E-mail: DANIELANTONIOSUAREZ99@GMAIL.COM |  Número de Folios : 2 |  Tipología: Novedades Aportes de Cesantias |  Radicado de Correspondencia Recibida: 02-2303-202203310456038 | "/>
  </r>
  <r>
    <x v="6"/>
    <n v="12344162"/>
    <s v="Normal"/>
    <s v="28-4706-20220401002105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6-202204010021053 |  Número de Identificación: 37749969 |  Nombre o Razón Social: PAREDES  PATRICIA RIBERO |  País: COLOMBIA |  Departamento: SANTANDER |  Ciudad: BUCARAMANGA |  Dirección: CR 32 # 155-34  P 1 |  Teléfono: 3164889705 |  E-mail: ALEJITO2608@OUTLOOK.COM |  Número de Folios : 2 |  Tipología: Novedades Aportes de Cesantias |  Radicado de Correspondencia Recibida: 02-4706-202204010460834 | "/>
  </r>
  <r>
    <x v="0"/>
    <n v="12344631"/>
    <s v="Normal"/>
    <s v="28-2303-202204010021130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130 |  Número de Identificación: 5207389 |  Nombre o Razón Social: JUAN ESTEBAN CADAVID GUERREO |  País: COLOMBIA |  Departamento: BOGOTA |  Ciudad: BOGOTA |  Dirección: CR 80 BIS # 7 A 15 TO 3 AP 305 |  Teléfono: 7334577 |  E-mail: juancadavidmd@hotmail.com |  Número de Folios : 0 |  Tipología: Novedades Aportes de Cesantias |  Radicado de Correspondencia Recibida: 02-2303-202204010461672 | "/>
  </r>
  <r>
    <x v="6"/>
    <n v="12344787"/>
    <s v="Normal"/>
    <s v="28-2303-202204010021147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147 |  Número de Identificación: 8001416441 |  Nombre o Razón Social: ARMADA NACIONAL DE COLOMBIA |  País: COLOMBIA |  Departamento: BOGOTA |  Ciudad: BOGOTA |  Dirección: CR 54 #26-25 CAN MDN |  Teléfono: 3692000 |  E-mail: maria.villada@armada.mil.co |  Número de Folios : 1 |  Tipología: Novedades Aportes de Cesantias |  Radicado de Correspondencia Recibida: 02-2303-202204010461825 | "/>
  </r>
  <r>
    <x v="0"/>
    <n v="12345120"/>
    <s v="Normal"/>
    <s v="28-2303-202204010021177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177 |  Número de Identificación: 79780564 |  Nombre o Razón Social: MUNOZ BENITEZ EDWIN ANDRES |  País: COLOMBIA |  Departamento: BOGOTA |  Ciudad: BOGOTA |  Dirección: CL 152A # 54 37 |  Teléfono: 6670011 |  Número de Folios : 0 |  Tipología: Novedades Aportes de Cesantias |  Radicado de Correspondencia Recibida: 02-2303-202204010462078 | "/>
  </r>
  <r>
    <x v="6"/>
    <n v="12345375"/>
    <s v="Normal"/>
    <s v="28-2303-202204010021195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195 |  Número de Identificación: 5040045 |  Nombre o Razón Social: CASTRO BAENA ROBERTO . |  País: COLOMBIA |  Departamento: BOGOTA |  Ciudad: BOGOTA |  Dirección: TV 48 #133-8 |  Teléfono: 6102731 |  Número de Folios : 0 |  Tipología: Novedades Aportes de Cesantias |  Radicado de Correspondencia Recibida: 02-2303-202204010462284 | "/>
  </r>
  <r>
    <x v="3"/>
    <n v="12345498"/>
    <s v="Normal"/>
    <s v="28-2303-202204010021200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00 |  Número de Identificación: 9006834892 |  Nombre o Razón Social: CENTRO MEDICO VITAL DRA ALIA SANTANA SAS |  País: COLOMBIA |  Departamento: BOGOTA |  Ciudad: BOGOTA |  Dirección: AV CR 15 #93 60 LOC 1 18 |  Teléfono: 3003021 |  Número de Folios : 0 |  Tipología: Novedades Aportes de Cesantias |  Radicado de Correspondencia Recibida: 02-2303-202204010462379 | "/>
  </r>
  <r>
    <x v="0"/>
    <n v="12345524"/>
    <s v="Normal"/>
    <s v="28-2303-20220401002120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01 |  Número de Identificación: 763685 |  Nombre o Razón Social: VIVAS BARRETO MARCO ANTONIO |  País: COLOMBIA |  Departamento: BOGOTA |  Ciudad: BOGOTA |  Dirección: CRA 81F 1A 18 |  Teléfono: 3219224253 |  Número de Folios : 0 |  Tipología: Novedades Aportes de Cesantias |  Radicado de Correspondencia Recibida: 02-2303-202204010462403 | "/>
  </r>
  <r>
    <x v="6"/>
    <n v="12345535"/>
    <s v="Normal"/>
    <s v="28-2303-20220401002120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02 |  Número de Identificación: 9002581707 |  Nombre o Razón Social: PROYECTOS MEJIA FLOREZ Y CIA S EN C |  País: COLOMBIA |  Departamento: BOGOTA |  Ciudad: BOGOTA |  Dirección: CL 71 #2A 94 |  Teléfono: 3177568 |  Número de Folios : 0 |  Tipología: Novedades Aportes de Cesantias |  Radicado de Correspondencia Recibida: 02-2303-202204010462406 | "/>
  </r>
  <r>
    <x v="0"/>
    <n v="12346085"/>
    <s v="Normal"/>
    <s v="28-2303-20220401002122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21 |  Número de Identificación: 19448909 |  Nombre o Razón Social: MORENO CORDOBA ROSBY |  País: COLOMBIA |  Departamento: CHOCO |  Ciudad: QUIBDO |  Dirección: CL 30  # 6-44 |  Teléfono: 0 |  E-mail: rosmoco@hotmail.com |  Número de Folios : 0 |  Tipología: Novedades Aportes de Cesantias |  Radicado de Correspondencia Recibida: 02-2303-202204010462866 | "/>
  </r>
  <r>
    <x v="6"/>
    <n v="12346195"/>
    <s v="Normal"/>
    <s v="28-2303-202204010021225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25 |  Número de Identificación: 9000629179 |  Nombre o Razón Social: SERVICIOS POSTALES NACIONALES SA |  País: COLOMBIA |  Departamento: BOGOTA |  Ciudad: BOGOTA |  Dirección: DG 25 G # 95 A 55 |  Teléfono: N/A |  E-mail: j04lctoiba@cendoj.ramajudicial.gov.co |  Número de Folios : 1 |  Tipología: Novedades Aportes de Cesantias |  Radicado de Correspondencia Recibida: 02-2303-202204010462943 | "/>
  </r>
  <r>
    <x v="0"/>
    <n v="12346919"/>
    <s v="Normal"/>
    <s v="28-2303-202204010021237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37 |  Número de Identificación: 1130599015 |  Nombre o Razón Social: JOHN DAVID CHAGUENDO FAJARDO |  País: COLOMBIA |  Departamento: VALLE DEL CAUCA |  Ciudad: CALI |  Dirección: CL 119 #23-160 |  Teléfono: 4203123 |  E-mail: jhondabi@gmail.com |  Número de Folios : 0 |  Tipología: Novedades Aportes de Cesantias |  Radicado de Correspondencia Recibida: 02-2303-202204010463452 | "/>
  </r>
  <r>
    <x v="6"/>
    <n v="12346940"/>
    <s v="Normal"/>
    <s v="28-2303-202204010021238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38 |  Número de Identificación: 8001001475 |  Nombre o Razón Social: ALCALDIA MUNICIPAL DE VILLARRICA TOLIMA |  País: COLOMBIA |  Departamento: TOLIMA |  Ciudad: VILLARRICA |  Dirección: CL 4 - 3 - 19 |  Teléfono: 2475070 |  Número de Folios : 0 |  Tipología: Novedades Aportes de Cesantias |  Radicado de Correspondencia Recibida: 02-2303-202204010463468 | "/>
  </r>
  <r>
    <x v="2"/>
    <n v="12342482"/>
    <s v="Normal"/>
    <s v="28-2303-202204010021040"/>
    <x v="13"/>
    <d v="2022-04-08T00:00:00"/>
    <d v="2022-04-04T00:00:00"/>
    <n v="1"/>
    <s v="ABRIL"/>
    <s v="EN GESTIÓN"/>
    <x v="7"/>
    <x v="1"/>
    <x v="2"/>
    <s v=""/>
    <x v="0"/>
    <x v="2"/>
    <s v="Asistentes FNA - Ejecución Novedad"/>
    <s v="Radicado: 28-2303-202204010021040 |  Número de Identificación: 1090495678 |  Nombre o Razón Social: ORDONEZ VASQUEZ FARITH JOAN |  País: COLOMBIA |  Departamento: BOGOTA |  Ciudad: BOGOTA |  Dirección: 0 |  Teléfono: 0 |  E-mail: N/A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2303-202204010460553 | "/>
  </r>
  <r>
    <x v="2"/>
    <n v="12346508"/>
    <s v="Normal"/>
    <s v="28-2303-202204010021228"/>
    <x v="13"/>
    <d v="2022-04-08T00:00:00"/>
    <d v="2022-04-04T00:00:00"/>
    <n v="1"/>
    <s v="ABRIL"/>
    <s v="EN GESTIÓN"/>
    <x v="7"/>
    <x v="1"/>
    <x v="2"/>
    <s v=""/>
    <x v="0"/>
    <x v="2"/>
    <s v="Asistentes FNA - Ejecución Novedad"/>
    <s v="Radicado: 28-2303-202204010021228 |  Número de Identificación: 41763460 |  Nombre o Razón Social: PINEDA ARIZA MARTHA |  País: COLOMBIA |  Departamento: BOGOTA |  Ciudad: BOGOTA |  Dirección: CL 188 SUR # 86 - 120 |  Teléfono: 0 |  E-mail: @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Respuesta procesamiento Cobis: Correo Electronico |  Radicado de Correspondencia Recibida: 02-2303-202204010463091 | "/>
  </r>
  <r>
    <x v="2"/>
    <n v="12343653"/>
    <s v="Normal"/>
    <s v="28-2303-202204010021056"/>
    <x v="13"/>
    <d v="2022-04-08T00:00:00"/>
    <d v="2022-04-04T00:00:00"/>
    <n v="1"/>
    <s v="ABRIL"/>
    <s v="EN GESTIÓN"/>
    <x v="7"/>
    <x v="1"/>
    <x v="2"/>
    <s v=""/>
    <x v="0"/>
    <x v="2"/>
    <s v="Asistentes FNA - Ejecución Novedad"/>
    <s v="Radicado: 28-2303-202204010021056 |  Número de Identificación: 900976844 |  Nombre o Razón Social: MATIMBA CLUB  SPA |  País: COLOMBIA |  Departamento: BOLIVAR |  Ciudad: CARTAGENA |  Dirección: CORREGIMIENTO BARU CL 7 CRR 5 # 513  |  Teléfono: 3218063861 |  E-mail: CONTABILIDAD@MATIMBACLUB.COM |  Número de Folios : 0 |  Tipología: Apoyo Empresas |  Tipo de solicitud: Validacion de reporte |  Motivo: Aclaración Vigencia 2020 |  Medio de recepción: Buzón Apoyo Empresas |  Requiere Modificación: No |  Tipo de Modificación: No Aplica |  Tipo de Empresa: Privada |  Tipo de Novedad: Monetaria |  Estado del Proceso 1: Ok. Aprobado |  Usuario Responsable: Ledher Julian Martin Sierra Cristancho |  Resultado captura: Otras Solicitudes |  Respuesta procesamiento Cobis: Correo Electronico |  Requiere respuesta: No |  Radicado de Correspondencia Recibida: 02-2303-202204010460875 | "/>
  </r>
  <r>
    <x v="2"/>
    <n v="12341840"/>
    <s v="Normal"/>
    <s v="28-2303-202204010021027"/>
    <x v="13"/>
    <d v="2022-04-08T00:00:00"/>
    <d v="2022-04-04T00:00:00"/>
    <n v="1"/>
    <s v="ABRIL"/>
    <s v="EN GESTIÓN"/>
    <x v="7"/>
    <x v="1"/>
    <x v="2"/>
    <s v=""/>
    <x v="0"/>
    <x v="2"/>
    <s v="Asistentes FNA - Ejecución Novedad"/>
    <s v="Radicado: 28-2303-202204010021027 |  Número de Identificación: 40991442 |  Nombre o Razón Social: LUZDARY  MCLAUGHLIN |  País: COLOMBIA |  Departamento: ISLAS |  Ciudad: SAN ANDRES |  Dirección: BARRIO LOMA |  Teléfono: 3156003642 |  E-mail: LUZBASTA@HOTMAIL.COM |  Número de Folios : 0 |  Tipología: Novedades Aportes de Cesantias |  Requiere Modificación: No |  Tipo de Modificación: No Aplica |  Tipo de Empresa: Privada |  Tipo de Novedad: Correccion de Nombre sin Formato |  Estado del Proceso 1: Ok. Aprobado |  Usuario Responsable: Jhonier James Leon Guzman |  Respuesta procesamiento Cobis: Correo Electronico |  Radicado de Correspondencia Recibida: 02-2303-202204010460066 | "/>
  </r>
  <r>
    <x v="0"/>
    <n v="12347901"/>
    <s v="Normal"/>
    <s v="28-4701-202204010021010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1-202204010021010 |  Número de Identificación: 41783344 |  Nombre o Razón Social: FARFAN MONTANO CONSTANZA |  País: COLOMBIA |  Departamento: BOGOTA |  Ciudad: BOGOTA |  Dirección: CL 59A SUR # 22-18 C2 |  Teléfono: 3245923541 |  E-mail: JUANFARIAS88@GMAIL.COM |  Número de Folios : 3 |  Tipología: Novedades Aportes de Cesantias |  Radicado de Correspondencia Recibida: 02-4701-202204010458661 | "/>
  </r>
  <r>
    <x v="2"/>
    <n v="12343848"/>
    <s v="Normal"/>
    <s v="28-2303-202203310020987"/>
    <x v="13"/>
    <d v="2022-04-08T00:00:00"/>
    <d v="2022-04-04T00:00:00"/>
    <n v="1"/>
    <s v="ABRIL"/>
    <s v="EN GESTIÓN"/>
    <x v="7"/>
    <x v="1"/>
    <x v="2"/>
    <s v=""/>
    <x v="0"/>
    <x v="2"/>
    <s v="Asistentes FNA - Ejecución Novedad"/>
    <s v="Radicado: 28-2303-202203310020987 |  Número de Identificación: 7251825 |  Nombre o Razón Social: MUNOZ GUZMAN HENRY |  País: COLOMBIA |  Departamento: CALDAS |  Ciudad: LA DORADA |  Dirección: CL 17 #11 58 |  Teléfono: 3114697805 |  E-mail: N/A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Fisico |  Radicado de Correspondencia Recibida: 02-2303-202203310456011 | "/>
  </r>
  <r>
    <x v="6"/>
    <n v="12348086"/>
    <s v="Normal"/>
    <s v="28-2303-202204010021255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55 |  Número de Identificación: 1010184873  |  Nombre o Razón Social: HOYOS SOLER NATALYA |  País: COLOMBIA |  Departamento: TOLIMA |  Ciudad: IBAGUE |  Dirección: CRA 14B SUR 95 120 |  Teléfono: 3133475111 |  Número de Folios : 0 |  Tipología: Novedades Aportes de Cesantias |  Radicado de Correspondencia Recibida: 02-2303-202204010464196 | "/>
  </r>
  <r>
    <x v="2"/>
    <n v="12344235"/>
    <s v="Normal"/>
    <s v="28-4803-202204010021011"/>
    <x v="13"/>
    <d v="2022-04-08T00:00:00"/>
    <d v="2022-04-04T00:00:00"/>
    <n v="1"/>
    <s v="ABRIL"/>
    <s v="EN GESTIÓN"/>
    <x v="7"/>
    <x v="1"/>
    <x v="2"/>
    <s v=""/>
    <x v="0"/>
    <x v="2"/>
    <s v="Asistentes FNA - Ejecución Novedad"/>
    <s v="Radicado: 28-4803-202204010021011 |  Número de Identificación: 36992363 |  Nombre o Razón Social: FLOR ALBA RUANO |  País: COLOMBIA |  Departamento: NARIÑO |  Ciudad: PASTO |  Dirección: MZ A CASA 5 |  Teléfono: 3168760518 |  E-mail: correo@correo.com |  Número de Folios : 3 |  Tipología: Novedades Aportes de Cesantias |  Requiere Modificación: No |  Tipo de Modificación: No Aplica |  Tipo de Empresa: Privada |  Tipo de Novedad: Correccion de Nombre sin Formato |  Estado del Proceso 1: Ok. Aprobado |  Usuario Responsable: Ledher Julian Martin Sierra Cristancho |  Respuesta procesamiento Cobis: Correo Electronico |  Radicado de Correspondencia Recibida: 02-4803-202204010458781 | "/>
  </r>
  <r>
    <x v="3"/>
    <n v="12348215"/>
    <s v="Normal"/>
    <s v="28-2303-20220401002126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61 |  Número de Identificación: 35401913 |  Nombre o Razón Social: LUZ  ROMERO TORRES |  País: COLOMBIA |  Departamento: CUNDINAMARCA |  Ciudad: ZIPAQUIRA |  Dirección: CR 5A #22-81 |  Teléfono: 0 |  Número de Folios : 0 |  Tipología: Novedades Aportes de Cesantias |  Radicado de Correspondencia Recibida: 02-2303-202204010464297 | "/>
  </r>
  <r>
    <x v="0"/>
    <n v="12348248"/>
    <s v="Normal"/>
    <s v="28-2303-20220401002126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63 |  Número de Identificación: 8305125934 |  Nombre o Razón Social: INDUROB LIMITADA |  País: COLOMBIA |  Departamento: ANTIOQUIA |  Ciudad: MEDELLIN |  Dirección: CR 45 #32 79 |  Teléfono: 4445577 |  E-mail: indurobadmon@une.net.co |  Número de Folios : 0 |  Tipología: Novedades Aportes de Cesantias |  Radicado de Correspondencia Recibida: 02-2303-202204010464325 | "/>
  </r>
  <r>
    <x v="6"/>
    <n v="12348305"/>
    <s v="Normal"/>
    <s v="28-2303-202204010021265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65 |  Número de Identificación: 118203 |  Nombre o Razón Social: VALERO VALERO JORGE HERMOGENES |  País: COLOMBIA |  Departamento: BOGOTA |  Ciudad: BOGOTA |  Dirección: KR 57 125 A 46 IN 3 NIZA CORDOBA |  Teléfono: 2535443 |  Número de Folios : 0 |  Tipología: Novedades Aportes de Cesantias |  Radicado de Correspondencia Recibida: 02-2303-202204010464350 | "/>
  </r>
  <r>
    <x v="3"/>
    <n v="12348877"/>
    <s v="Normal"/>
    <s v="28-4704-20220401002102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4-202204010021023 |  Número de Identificación: 29326890 |  Nombre o Razón Social: ROJAS DE RODRIGUEZ MARIA SUSANA |  País: COLOMBIA |  Departamento: VALLE DEL CAUCA |  Ciudad: CAICEDONIA |  Dirección: CL 12 #7-47 CIUDADELA MUNICIPAL |  Teléfono: 3194644418 |  Número de Folios : 4 |  Tipología: Novedades Aportes de Cesantias |  Radicado de Correspondencia Recibida: 02-4704-202204010459923 | "/>
  </r>
  <r>
    <x v="0"/>
    <n v="12349005"/>
    <s v="Normal"/>
    <s v="28-2303-20220401002127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73 |  Número de Identificación: 7448929 |  Nombre o Razón Social: GOMEZ  ALEJANDRO |  País: COLOMBIA |  Departamento: ISLAS |  Ciudad: SAN ANDRES |  Dirección: BR EL BIGH M 17 CA 6 |  Teléfono: 5125621 |  E-mail: ALGOGO@HOTMAIL.COM |  Número de Folios : 0 |  Tipología: Novedades Aportes de Cesantias |  Radicado de Correspondencia Recibida: 02-2303-202204010464461 | "/>
  </r>
  <r>
    <x v="6"/>
    <n v="12349065"/>
    <s v="Normal"/>
    <s v="28-4708-20220401002123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8-202204010021232 |  Número de Identificación: 63326551 |  Nombre o Razón Social: RESTREPO VILLAMIZAR CLAUDIA  ELEN |  País: COLOMBIA |  Departamento: META |  Ciudad: VILLAVICENCIO |  Dirección: CR 47 #15 45 CASA 22 QUINTAS DE SAN SOUCCI |  Teléfono: 6654213 |  E-mail: claresvi@hotmail.com |  Número de Folios : 2 |  Tipología: Novedades Aportes de Cesantias |  Radicado de Correspondencia Recibida: 02-4708-202204010463274 | "/>
  </r>
  <r>
    <x v="3"/>
    <n v="12349267"/>
    <s v="Normal"/>
    <s v="28-2303-20220401002129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96 |  Número de Identificación: 3735152 |  Nombre o Razón Social: CAMARGO ARRIETA EDGARDO |  País: COLOMBIA |  Departamento: ATLANTICO |  Ciudad: MANATI |  Dirección: CRA 4 7C 48 |  Teléfono: 3004507392 |  Número de Folios : 0 |  Tipología: Novedades Aportes de Cesantias |  Radicado de Correspondencia Recibida: 02-2303-202204010464562 | "/>
  </r>
  <r>
    <x v="0"/>
    <n v="12349288"/>
    <s v="Normal"/>
    <s v="28-2303-202204010021299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99 |  Número de Identificación: 763685 |  Nombre o Razón Social: VIVAS BARRETO MARCO ANTONIO |  País: COLOMBIA |  Departamento: BOGOTA |  Ciudad: BOGOTA |  Dirección: 0 |  Teléfono: 0 |  Número de Folios : 0 |  Tipología: Novedades Aportes de Cesantias |  Radicado de Correspondencia Recibida: 02-2303-202204010464572 | "/>
  </r>
  <r>
    <x v="6"/>
    <n v="12349296"/>
    <s v="Normal"/>
    <s v="28-2303-20220401002130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302 |  Número de Identificación: 1106398173 |  Nombre o Razón Social: CASTAï¿½EDA BOCANEGRA INGRID DAYANA |  País: COLOMBIA |  Departamento: BOGOTA |  Ciudad: BOGOTA |  Dirección: CL 33 # 1 - 50  CA 144 |  Teléfono: 0 |  E-mail: DAYIS-0405@HOTMAIL.COM |  Número de Folios : 0 |  Tipología: Novedades Aportes de Cesantias |  Radicado de Correspondencia Recibida: 02-2303-202204010464577 | "/>
  </r>
  <r>
    <x v="3"/>
    <n v="12349323"/>
    <s v="Normal"/>
    <s v="28-2303-20220401002130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306 |  Número de Identificación: 1152691500 |  Nombre o Razón Social: USUGA QUIROZ MARIA FERNANDA |  País: COLOMBIA |  Departamento: ANTIOQUIA |  Ciudad: MEDELLIN |  Dirección: CL 106B # 81-29 |  Teléfono: 3045630714 |  E-mail: MAFEGERONTOLOGA@GMAIL.COM |  Número de Folios : 0 |  Tipología: Novedades Aportes de Cesantias |  Radicado de Correspondencia Recibida: 02-2303-202204010464592 | "/>
  </r>
  <r>
    <x v="0"/>
    <n v="12350494"/>
    <s v="Normal"/>
    <s v="28-2303-20220402002131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12 |  Número de Identificación: 9001774022 |  Nombre o Razón Social: ACODINSA SAS |  País: COLOMBIA |  Departamento: BOGOTA |  Ciudad: BOGOTA |  Dirección: 1 |  Teléfono: 1 |  E-mail: NOTIENE@HOTMAIL.COM |  Número de Folios : 1 |  Tipología: Novedades Aportes de Cesantias |  Radicado de Correspondencia Recibida: 02-2303-202204020465505 | "/>
  </r>
  <r>
    <x v="6"/>
    <n v="12350729"/>
    <s v="Normal"/>
    <s v="28-2303-202204020021324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24 |  Número de Identificación: 8002501191 |  Nombre o Razón Social: SALUCOOP EPS OC EN LIQUIDACION  |  País: COLOMBIA |  Departamento: BOGOTA |  Ciudad: BOGOTA |  Dirección: CALLE 73  # 11-66 |  Teléfono: 3171820 |  E-mail: NOTIENE@HOTMAIL.COM |  Número de Folios : 0 |  Tipología: Novedades Aportes de Cesantias |  Radicado de Correspondencia Recibida: 02-2303-202204020465723 | "/>
  </r>
  <r>
    <x v="3"/>
    <n v="12351408"/>
    <s v="Normal"/>
    <s v="28-2303-202204020021330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30 |  Número de Identificación: 8301442726 |  Nombre o Razón Social: CODISBELL IMAGEN LTDA |  País: COLOMBIA |  Departamento: BOGOTA |  Ciudad: BOGOTA |  Dirección: CL 152A # 7A 08 OF 201 |  Teléfono: 6333467 |  Número de Folios : 0 |  Tipología: Novedades Aportes de Cesantias |  Radicado de Correspondencia Recibida: 02-2303-202204020466254 | "/>
  </r>
  <r>
    <x v="0"/>
    <n v="12352605"/>
    <s v="Normal"/>
    <s v="28-4901-202204020021320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901-202204020021320 |  Número de Identificación: 27125416 |  Nombre o Razón Social: ORDOÑEZ PAZ AIDA TULIA |  País: COLOMBIA |  Departamento: CAUCA |  Ciudad: POPAYAN |  Dirección: CR 19  BIS #64-14 NORTE |  Teléfono: 3127558040 |  E-mail: ATULI77@HOTMAIL.COM |  Número de Folios : 2 |  Tipología: Novedades Aportes de Cesantias |  Radicado de Correspondencia Recibida: 02-4901-202204020465624 | "/>
  </r>
  <r>
    <x v="6"/>
    <n v="12352722"/>
    <s v="Normal"/>
    <s v="28-2303-202204020021349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49 |  Número de Identificación: 25274345 |  Nombre o Razón Social: MUÑOZ OCAMPO CLAUDIA MARITZA |  País: COLOMBIA |  Departamento: CAUCA |  Ciudad: POPAYAN |  Dirección: CL 73 AN # 12 AN - 27 CL 73 AN |  Teléfono: 3136216303 |  E-mail: CLAMARITZ@HOTMAIL.COM |  Número de Folios : 0 |  Tipología: Novedades Aportes de Cesantias |  Radicado de Correspondencia Recibida: 02-2303-202204020467267 | "/>
  </r>
  <r>
    <x v="3"/>
    <n v="12352828"/>
    <s v="Normal"/>
    <s v="28-2303-20220402002135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53 |  Número de Identificación: 1095933106 |  Nombre o Razón Social: RUEDA DURANTE FRANCY DANIELA |  País: COLOMBIA |  Departamento: BOGOTA |  Ciudad: BOGOTA |  Dirección: CL 17 B # 7 - 54 |  Teléfono: 0 |  E-mail: GDANIELA094@GMAIL.COM |  Número de Folios : 0 |  Tipología: Novedades Aportes de Cesantias |  Radicado de Correspondencia Recibida: 02-2303-202204020467357 | "/>
  </r>
  <r>
    <x v="0"/>
    <n v="12352850"/>
    <s v="Normal"/>
    <s v="28-2303-202204020021354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54 |  Número de Identificación: 37084303 |  Nombre o Razón Social: LOPEZ  ALEXANDRA MILENA |  País: COLOMBIA |  Departamento: NARIÑO |  Ciudad: PASTO |  Dirección: CS 29 A MAPACHINO |  Teléfono: 3177438569 |  E-mail: ALEXALOP2014@GMAIL.COM |  Número de Folios : 0 |  Tipología: Novedades Aportes de Cesantias |  Radicado de Correspondencia Recibida: 02-2303-202204020467374 | "/>
  </r>
  <r>
    <x v="6"/>
    <n v="12352901"/>
    <s v="Normal"/>
    <s v="28-2303-20220402002135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56 |  Número de Identificación: 70142521 |  Nombre o Razón Social: OSORIO MESA WILINTON ARIEL |  País: COLOMBIA |  Departamento: ANTIOQUIA |  Ciudad: MEDELLIN |  Dirección: CL 70 F # 95 - 168 INT 9602 TR 25 |  Teléfono: 3217812537 |  E-mail: WOSORIO@NEUST.COM.CO |  Número de Folios : 0 |  Tipología: Novedades Aportes de Cesantias |  Radicado de Correspondencia Recibida: 02-2303-202204020467413 | "/>
  </r>
  <r>
    <x v="3"/>
    <n v="12353285"/>
    <s v="Normal"/>
    <s v="28-4603-202204020021309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09 |  Número de Identificación: 20679039 |  Nombre o Razón Social: CORTES LATORRES MARTHA |  País: COLOMBIA |  Departamento: BOGOTA |  Ciudad: BOGOTA |  Dirección: CR 9 este  96-45 |  Teléfono: 3002526922 |  E-mail: malejac578@gmail.com |  Número de Folios : 2 |  Tipología: Novedades Aportes de Cesantias |  Radicado de Correspondencia Recibida: 02-4603-202204020465107 | "/>
  </r>
  <r>
    <x v="0"/>
    <n v="12353337"/>
    <s v="Normal"/>
    <s v="28-4603-202204020021315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15 |  Número de Identificación: 79796303 |  Nombre o Razón Social: GRANADOS VANEGAS DELWIN ROGER |  País: COLOMBIA |  Departamento: BOGOTA |  Ciudad: BOGOTA |  Dirección: CL 100 7 33 PI 6 |  Teléfono: 6932120 |  E-mail: THIAGO.VNQS@GMAIL.COM |  Número de Folios : 10 |  Tipología: Novedades Aportes de Cesantias |  Radicado de Correspondencia Recibida: 02-4603-202204020465566 | "/>
  </r>
  <r>
    <x v="6"/>
    <n v="12353338"/>
    <s v="Normal"/>
    <s v="28-4603-20220402002131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16 |  Número de Identificación: 1020720617 |  Nombre o Razón Social: HUILA MENDEZ LINA MARIA |  País: COLOMBIA |  Departamento: BOGOTA |  Ciudad: BOGOTA |  Dirección: CR 25  # 22-40 |  Teléfono: 3213497561 |  E-mail: LINAMARPUENTES1986@HOTMAIL.COM |  Número de Folios : 2 |  Tipología: Novedades Aportes de Cesantias |  Radicado de Correspondencia Recibida: 02-4603-202204020465575 | "/>
  </r>
  <r>
    <x v="3"/>
    <n v="12353342"/>
    <s v="Normal"/>
    <s v="28-4603-202204020021318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18 |  Número de Identificación: 52058659 |  Nombre o Razón Social: LUZ DARY DUARTE PARDO |  País: COLOMBIA |  Departamento: BOGOTA |  Ciudad: BOGOTA |  Dirección: CR 3 #32B20 S CASA |  Teléfono: 3640870 |  E-mail: luzdaruduarte123@hotmail.com |  Número de Folios : 2 |  Tipología: Novedades Aportes de Cesantias |  Radicado de Correspondencia Recibida: 02-4603-202204020465590 | "/>
  </r>
  <r>
    <x v="0"/>
    <n v="12353347"/>
    <s v="Normal"/>
    <s v="28-4603-202204020021319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19 |  Número de Identificación: 79436267 |  Nombre o Razón Social: SANCHEZ VALDEZ CARLOS ALBERTO |  País: COLOMBIA |  Departamento: BOGOTA |  Ciudad: BOGOTA |  Dirección: CLL 90 95 F 5 |  Teléfono: 4424890 |  E-mail: CARLOS_TOFI@HOTMAIL.COM |  Número de Folios : 2 |  Tipología: Novedades Aportes de Cesantias |  Radicado de Correspondencia Recibida: 02-4603-202204020465612 | "/>
  </r>
  <r>
    <x v="6"/>
    <n v="12353352"/>
    <s v="Normal"/>
    <s v="28-4603-20220402002132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23 |  Número de Identificación: 1005132025 |  Nombre o Razón Social: DIAZ TOLEDO NELSONENRIQUE |  País: COLOMBIA |  Departamento: BOGOTA |  Ciudad: BOGOTA |  Dirección: CLL 61 BIS SUR 18 T  22 |  Teléfono: 3123162151 |  E-mail: DIAZTOLEDO228@GMAIL.COM |  Número de Folios : 2 |  Tipología: Novedades Aportes de Cesantias |  Radicado de Correspondencia Recibida: 02-4603-202204020465665 | "/>
  </r>
  <r>
    <x v="3"/>
    <n v="12353638"/>
    <s v="Normal"/>
    <s v="28-4701-20220402002133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1-202204020021333 |  Número de Identificación: 1152691500 |  Nombre o Razón Social: USUGA QUIROZ MARIA FERNANDA |  País: COLOMBIA |  Departamento: ANTIOQUIA |  Ciudad: MEDELLIN |  Dirección: CL 106B # 81-29 |  Teléfono: 3045630714 |  E-mail: MAFEGERONTOLOGA@GMAIL.COM |  Número de Folios : 2 |  Tipología: Novedades Aportes de Cesantias |  Radicado de Correspondencia Recibida: 02-4701-202204020466776 | "/>
  </r>
  <r>
    <x v="0"/>
    <n v="12353801"/>
    <s v="Normal"/>
    <s v="28-2303-20220402002136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63 |  Número de Identificación: 1061600735 |  Nombre o Razón Social: CARLOS GEOVANNY PERAFAN IBACHI |  País: COLOMBIA |  Departamento: BOGOTA |  Ciudad: BOGOTA |  Dirección: CR 37 # 7 - 49 LOS EJIDOS |  Teléfono: 3184739596 |  E-mail: PERAFANCARLOS15@GMAIL.COM |  Número de Folios : 0 |  Tipología: Novedades Aportes de Cesantias |  Radicado de Correspondencia Recibida: 02-2303-202204020467870 | "/>
  </r>
  <r>
    <x v="6"/>
    <n v="12353926"/>
    <s v="Normal"/>
    <s v="28-4703-20220402002134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3-202204020021341 |  Número de Identificación: 1053840870 |  Nombre o Razón Social: MARIA ALEJANDRA FRANCO |  País: COLOMBIA |  Departamento: CALDAS |  Ciudad: MANIZALES |  Dirección: KM 12 VIA AL MAGDALENA FRUGGY |  Teléfono: 3807997 |  Número de Folios : 3 |  Tipología: Novedades Aportes de Cesantias |  Radicado de Correspondencia Recibida: 02-4703-202204020467001 | "/>
  </r>
  <r>
    <x v="5"/>
    <n v="12345018"/>
    <s v="Reasignación"/>
    <s v="28-2303-202204010021170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2303-202204010021170 |  Número de Identificación: 10167787 |  Nombre o Razón Social: PUERTA RINCON OMAR DE |  País: COLOMBIA |  Departamento: BOGOTA |  Ciudad: BOGOTA |  Dirección: CL 23 72 B 42 APTO 503 TO 4 3143300917 DISTRITO CAPITA 31433 |  Teléfono: 8008858 |  E-mail: @ |  Número de Folios : 0 |  Tipología: Novedades Aportes de Cesantias |  Requiere Modificación: No |  Tipo de Modificación: No Aplica |  Tipo de Empresa: Publica |  Tipo de Novedad: No Monetaria |  Estado del Proceso 1: Dev. Devuelto |  Causal de Devolución PNC de Cara al Cliente: Documentación Incompleta o Inconsistente |  Usuario Responsable: Oscar Ramiro Reyes Prada |  Respuesta procesamiento Cobis: Correo Electronico |  Radicado de Correspondencia Recibida: 02-2303-202204010462031 | "/>
  </r>
  <r>
    <x v="5"/>
    <n v="12345753"/>
    <s v="Reasignación"/>
    <s v="28-4601-202203230019503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4601-202203230019503 |  Número de Identificación: 4118891 |  Nombre o Razón Social: PRIETO AVELLO ADAN |  País: COLOMBIA |  Departamento: BOGOTA |  Ciudad: BOGOTA |  Dirección: CL 12 B 9 33 OF 201 |  Teléfono: 3022585042 |  E-mail: PRIMARSAS2015@HOTMAIL.COM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601-202203230402594 | "/>
  </r>
  <r>
    <x v="5"/>
    <n v="12344998"/>
    <s v="Reasignación"/>
    <s v="28-2303-202204010021168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2303-202204010021168 |  Número de Identificación: 52265619 |  Nombre o Razón Social: MUï¿½OZ NEGRETE ELIANA EDTH |  País: COLOMBIA |  Departamento: BOGOTA |  Ciudad: BOGOTA |  Dirección: CL 66 # 80 40 |  Teléfono: 0 |  E-mail: N/A |  Número de Folios : 0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2303-202204010462019 | "/>
  </r>
  <r>
    <x v="5"/>
    <n v="12294493"/>
    <s v="Reasignación"/>
    <s v="28-4601-202203180018720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4601-202203180018720 |  Número de Identificación: 1015480799 |  Nombre o Razón Social: MUNOZ VALENCIA SANTIAGO |  País: COLOMBIA |  Departamento: BOGOTA |  Ciudad: BOGOTA |  Dirección: CRR 111A # 73A-64 |  Teléfono: 3227864275 |  E-mail: SANTIMU417@GMAIL.COM |  Número de Folios : 2 |  Tipología: Novedades Aportes de Cesantias |  Requiere Modificación: No |  Tipo de Modificación: No Aplica |  Tipo de Empresa: Privada |  Tipo de Novedad: Correccion de Nombre sin Formato |  Estado del Proceso 1: Tramitado con Anterioridad |  Usuario Responsable: Ledher Julian Martin Sierra Cristancho |  Respuesta procesamiento Cobis: Correo Electronico |  Radicado de Correspondencia Recibida: 02-4601-202203180379806 | "/>
  </r>
  <r>
    <x v="5"/>
    <n v="12343813"/>
    <s v="Reasignación"/>
    <s v="28-2303-202203310020983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2303-202203310020983 |  Número de Identificación: 1067097495 |  Nombre o Razón Social: MONTES MARTINEZ MEYDERMANUEL |  País: COLOMBIA |  Departamento: CORDOBA |  Ciudad: MONTERIA |  Dirección: CRA 12 A 2 46 |  Teléfono: 3126094415 |  E-mail: MMMONTES72@MISENA.EDU.CO |  Número de Folios : 2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2303-202203310455801 | "/>
  </r>
  <r>
    <x v="5"/>
    <n v="12342674"/>
    <s v="Reasignación"/>
    <s v="28-2303-202204010021044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2303-202204010021044 |  Número de Identificación: 1077144034 |  Nombre o Razón Social: NESTOR ALEXANDER QUINTERO MORENO |  País: COLOMBIA |  Departamento: BOGOTA |  Ciudad: BOGOTA |  Dirección: CL 82 #95 C 14 |  Teléfono: 0 |  E-mail: alexguin23@hotmail.com |  Número de Folios : 0 |  Tipología: Novedades Aportes de Cesantias |  Requiere Modificación: No |  Tipo de Modificación: No Aplica |  Tipo de Empresa: Privada |  Tipo de Novedad: No Monetaria |  Estado del Proceso 1: Ok. Aprobado |  Usuario Responsable: Oscar Ramiro Reyes Prada |  Estado del Proceso 3: Ok. Aprobado |  Respuesta procesamiento Cobis: Correo Electronico |  Radicado de Correspondencia Recibida: 02-2303-202204010460729 | "/>
  </r>
  <r>
    <x v="5"/>
    <n v="12344267"/>
    <s v="Reasignación"/>
    <s v="28-4805-202204010021051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4805-202204010021051 |  Número de Identificación: 94541057 |  Nombre o Razón Social: GUILLERMO ALONSO MENESES POLONIA |  País: COLOMBIA |  Departamento: VALLE DEL CAUCA |  Ciudad: CALI |  Dirección: CL 10A 42 OESTE 142 |  Teléfono: 3107176320 |  E-mail: guillo8504@gmail.com |  Número de Folios : 2 |  Tipología: Novedades Aportes de Cesantias |  Requiere Modificación: No |  Tipo de Modificación: No Aplica |  Tipo de Empresa: Privada |  Tipo de Novedad: Correccion de Nombre sin Formato |  Estado del Proceso 1: Ok. Aprobado |  Usuario Responsable: Oscar Ramiro Reyes Prada |  Estado del Proceso 3: Ok. Aprobado |  Respuesta procesamiento Cobis: Correo Electronico |  Radicado de Correspondencia Recibida: 02-4805-202204010460827 | "/>
  </r>
  <r>
    <x v="5"/>
    <n v="12347900"/>
    <s v="Reasignación"/>
    <s v="28-4701-202204010021008"/>
    <x v="13"/>
    <d v="2022-04-08T00:00:00"/>
    <d v="2022-04-04T00:00:00"/>
    <n v="1"/>
    <s v="ABRIL"/>
    <s v="EN GESTIÓN"/>
    <x v="7"/>
    <x v="1"/>
    <x v="1"/>
    <s v=""/>
    <x v="0"/>
    <x v="1"/>
    <s v="Respuesta Asistentes FNA"/>
    <s v="Radicado: 28-4701-202204010021008 |  Número de Identificación: 43204384 |  Nombre o Razón Social: CUARTAS VILLEGAS GLADYS  ESTELLA |  País: COLOMBIA |  Departamento: ANTIOQUIA |  Ciudad: MEDELLIN |  Dirección: CR 25B # 37-47 |  Teléfono: 3002500383 |  E-mail: GLADYSVILLEGAS2009@HOTMAIL.COM |  Número de Folios : 3 |  Tipología: Novedades Aportes de Cesantias |  Requiere Modificación: No |  Tipo de Modificación: No Aplica |  Tipo de Empresa: Privada |  Tipo de Novedad: No Monetaria |  Estado del Proceso 1: Tramitado con Anterioridad |  Usuario Responsable: Oscar Ramiro Reyes Prada |  Respuesta procesamiento Cobis: Correo Electronico |  Radicado de Correspondencia Recibida: 02-4701-202204010458648 | "/>
  </r>
  <r>
    <x v="7"/>
    <n v="12345483"/>
    <s v="Normal"/>
    <s v="28-2303-202204010021199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199 |  Número de Identificación: 925302732 |  Nombre o Razón Social: LLANTAS Y LLANTAS SINCELEJO ACOSTA RAMIREZ JAIDER JOSE |  País: COLOMBIA |  Departamento: BOGOTA |  Ciudad: BOGOTA |  Dirección: CL 32 #10A-101 AVENIDA ALFONSO LOPEZS |  Teléfono: 2802557 |  E-mail: jaider.acosta.r@hotmail.com |  Número de Folios : 1 |  Tipología: Cargue de Aportes Entidades Publicas Y Privadas y/o Modificacion de Aportes o Disponible |  Radicado de Correspondencia Recibida: 02-2303-202204010462365 | "/>
  </r>
  <r>
    <x v="7"/>
    <n v="12345589"/>
    <s v="Normal"/>
    <s v="28-2303-202204010021206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06 |  Número de Identificación: 8305015041 |  Nombre o Razón Social: SERVICOMPLEMENTOS SAS |  País: COLOMBIA |  Departamento: BOGOTA |  Ciudad: BOGOTA |  Dirección: 0 |  Teléfono: 0 |  Número de Folios : 0 |  Tipología: Novedades Aportes de Cesantias |  Radicado de Correspondencia Recibida: 02-2303-202204010462440 | "/>
  </r>
  <r>
    <x v="7"/>
    <n v="12346463"/>
    <s v="Normal"/>
    <s v="28-4901-20220401002116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901-202204010021161 |  Número de Identificación: 1130599015 |  Nombre o Razón Social: JOHN DAVID CHAGUENDO FAJARDO |  País: COLOMBIA |  Departamento: CAUCA |  Ciudad: POPAYAN |  Dirección: CL 119 #23-160 |  Teléfono: 31283712634203123 |  E-mail: jhondabi@gmail.com |  Número de Folios : 2 |  Tipología: Novedades Aportes de Cesantias |  Radicado de Correspondencia Recibida: 02-4901-202204010461960 | "/>
  </r>
  <r>
    <x v="7"/>
    <n v="12347150"/>
    <s v="Normal"/>
    <s v="28-2303-202204010021244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44 |  Número de Identificación: 1016099677 |  Nombre o Razón Social: CASTRO MONGA LAURA KATERINE |  País: COLOMBIA |  Departamento: BOGOTA |  Ciudad: BOGOTA |  Dirección: CL 30 # 5-56 |  Teléfono: 1 |  E-mail: KATERINEMONGUACASTRO@GMAIL.COM |  Número de Folios : 0 |  Tipología: Novedades Aportes de Cesantias |  Radicado de Correspondencia Recibida: 02-2303-202204010463648 | "/>
  </r>
  <r>
    <x v="7"/>
    <n v="12348159"/>
    <s v="Normal"/>
    <s v="28-2303-202204010021258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258 |  Número de Identificación: 1106398173 |  Nombre o Razón Social: CASTAï¿½EDA BOCANEGRA INGRID DAYANA |  País: COLOMBIA |  Departamento: CUNDINAMARCA |  Ciudad: SOACHA |  Dirección: CL 33 # 1 - 50  CA 144 |  Teléfono: 0 |  E-mail: DAYIS-0405@HOTMAIL.COM |  Número de Folios : 0 |  Tipología: Novedades Aportes de Cesantias |  Radicado de Correspondencia Recibida: 02-2303-202204010464256 | "/>
  </r>
  <r>
    <x v="7"/>
    <n v="12348767"/>
    <s v="Normal"/>
    <s v="28-4701-202204010021240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1-202204010021240 |  Número de Identificación: 1110582773 |  Nombre o Razón Social: JORGE STEVEN MESA NOVOA |  País: COLOMBIA |  Departamento: ANTIOQUIA |  Ciudad: MEDELLIN |  Dirección: CR 66 # 32B-113 |  Teléfono: 3184485631 |  E-mail: STIVENMESA1997@GMAIL.COM |  Número de Folios : 2 |  Tipología: Novedades Aportes de Cesantias |  Radicado de Correspondencia Recibida: 02-4701-202204010463507 | "/>
  </r>
  <r>
    <x v="7"/>
    <n v="12349075"/>
    <s v="Normal"/>
    <s v="28-4803-202204010021194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803-202204010021194 |  Número de Identificación: 1088738142 |  Nombre o Razón Social: DUQUE LEYTON ZARAMA LISETH |  País: COLOMBIA |  Departamento: NARIÑO |  Ciudad: PASTO |  Dirección: CRA 6 #18A-142 |  Teléfono: 3116732030 |  Número de Folios : 2 |  Tipología: Novedades Aportes de Cesantias |  Radicado de Correspondencia Recibida: 02-4803-202204010462281 | "/>
  </r>
  <r>
    <x v="7"/>
    <n v="12349315"/>
    <s v="Normal"/>
    <s v="28-2303-202204010021304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10021304 |  Número de Identificación: 80204047 |  Nombre o Razón Social: DIAZ CASA JIMMY RENE |  País: COLOMBIA |  Departamento: CUNDINAMARCA |  Ciudad: MADRID |  Dirección: CL 22 # 2-43 |  Teléfono: 3114436928 |  E-mail: JIMYDIAZ0614@GMAIL.COM |  Número de Folios : 0 |  Tipología: Novedades Aportes de Cesantias |  Radicado de Correspondencia Recibida: 02-2303-202204010464587 | "/>
  </r>
  <r>
    <x v="7"/>
    <n v="12350989"/>
    <s v="Normal"/>
    <s v="28-4903-202204010021184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903-202204010021184 |  Número de Identificación: 1075278636 |  Nombre o Razón Social: HOYOS RUBIANO ANNY JULIETH |  País: COLOMBIA |  Departamento: HUILA |  Ciudad: NEIVA |  Dirección: CL 14 SUR # 23A-29 |  Teléfono: 3008441179 |  E-mail: solanny1820@hotmail.com |  Número de Folios : 2 |  Tipología: Novedades Aportes de Cesantias |  Radicado de Correspondencia Recibida: 02-4903-202204010462148 | "/>
  </r>
  <r>
    <x v="7"/>
    <n v="12352804"/>
    <s v="Normal"/>
    <s v="28-2303-202204020021351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2303-202204020021351 |  Número de Identificación: 8000996426 |  Nombre o Razón Social: ALCALDIA MUNICIPAL DE TOCA |  País: COLOMBIA |  Departamento: BOYACA |  Ciudad: TOCA |  Dirección: CL 5 # 7 - 38 PS 3 |  Teléfono: 3174574541 |  E-mail: hacienda@toca-boyaca.gov.co |  Número de Folios : 0 |  Tipología: Novedades Aportes de Cesantias |  Radicado de Correspondencia Recibida: 02-2303-202204020467333 | "/>
  </r>
  <r>
    <x v="7"/>
    <n v="12353202"/>
    <s v="Normal"/>
    <s v="28-4301-20220402002133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301-202204020021332 |  Número de Identificación: 1193475489 |  Nombre o Razón Social: RIVERA ARTETA HILARRY DANIELA |  País: COLOMBIA |  Departamento: ATLANTICO |  Ciudad: BARRANQUILLA |  Dirección: CR 22C # 64-67 |  Teléfono: 3003794189 |  E-mail: HILARRYRIVERA02@GMAIL.COM |  Número de Folios : 2 |  Tipología: Novedades Aportes de Cesantias |  Radicado de Correspondencia Recibida: 02-4301-202204020466686 | "/>
  </r>
  <r>
    <x v="7"/>
    <n v="12353341"/>
    <s v="Normal"/>
    <s v="28-4603-202204020021317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3-202204020021317 |  Número de Identificación: 1081784480 |  Nombre o Razón Social: MANJARES PEREZ CARLOS MAURO |  País: COLOMBIA |  Departamento: BOGOTA |  Ciudad: BOGOTA |  Dirección: CL 76 SUR # 80M-25 BL 5 APA 603 |  Teléfono: 0 |  E-mail: karlosmauro@hotmail.com |  Número de Folios : 1 |  Tipología: Novedades Aportes de Cesantias |  Radicado de Correspondencia Recibida: 02-4603-202204020465582 | "/>
  </r>
  <r>
    <x v="7"/>
    <n v="12353571"/>
    <s v="Normal"/>
    <s v="28-4604-202204020021343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604-202204020021343 |  Número de Identificación: 118203 |  Nombre o Razón Social: VALERO VALERO JORGE HERMOGENES |  País: COLOMBIA |  Departamento: BOGOTA |  Ciudad: BOGOTA |  Dirección: KR 57 125 A 46 IN 3 NIZA CORDOBA |  Teléfono: 2535443 |  Número de Folios : 2 |  Tipología: Novedades Aportes de Cesantias |  Radicado de Correspondencia Recibida: 02-4604-202204020467037 | "/>
  </r>
  <r>
    <x v="7"/>
    <n v="12353975"/>
    <s v="Normal"/>
    <s v="28-4707-202204020021342"/>
    <x v="13"/>
    <d v="2022-04-08T00:00:00"/>
    <d v="2022-04-04T00:00:00"/>
    <n v="1"/>
    <s v="ABRIL"/>
    <s v="EN GESTIÓN"/>
    <x v="7"/>
    <x v="1"/>
    <x v="3"/>
    <s v=""/>
    <x v="0"/>
    <x v="0"/>
    <s v="Asistentes FNA"/>
    <s v="Radicado: 28-4707-202204020021342 |  Número de Identificación: 1010184873 |  Nombre o Razón Social: HOYOS SOLER NATALYA |  País: COLOMBIA |  Departamento: TOLIMA |  Ciudad: IBAGUE |  Dirección: CRA 14B SUR # 95-120 |  Teléfono: 3133475111 |  E-mail: NATA.HOYOS1509@HOTMAIL.COM |  Número de Folios : 2 |  Tipología: Novedades Aportes de Cesantias |  Radicado de Correspondencia Recibida: 02-4707-202204020467002 | "/>
  </r>
  <r>
    <x v="8"/>
    <n v="12345479"/>
    <s v="Normal"/>
    <s v="28-2303-202204010021198"/>
    <x v="13"/>
    <d v="2022-04-08T00:00:00"/>
    <d v="2022-04-04T00:00:00"/>
    <n v="1"/>
    <s v="ABRIL"/>
    <s v="EN GESTIÓN"/>
    <x v="7"/>
    <x v="1"/>
    <x v="3"/>
    <s v=""/>
    <x v="2"/>
    <x v="0"/>
    <s v="Asistentes FNA"/>
    <s v="Radicado: 28-2303-202204010021198 |  Número de Identificación: 1098759545 |  Nombre o Razón Social: JESY KAROLINA ACUÑA LOPEZ |  País: COLOMBIA |  Departamento: BOGOTA |  Ciudad: BOGOTA |  Dirección: CL 104 #7A-11 |  Teléfono: NO TIENE |  E-mail: lauritadiazosorio@gmail.com |  Número de Folios : 1 |  Tipología: Novedades AVC Monetarias |  Radicado de Correspondencia Recibida: 02-2303-202204010462359 | "/>
  </r>
  <r>
    <x v="8"/>
    <n v="12348744"/>
    <s v="Normal"/>
    <s v="28-2303-202204010021269"/>
    <x v="13"/>
    <d v="2022-04-08T00:00:00"/>
    <d v="2022-04-04T00:00:00"/>
    <n v="1"/>
    <s v="ABRIL"/>
    <s v="EN GESTIÓN"/>
    <x v="7"/>
    <x v="1"/>
    <x v="3"/>
    <s v=""/>
    <x v="2"/>
    <x v="0"/>
    <s v="Asistentes FNA"/>
    <s v="Radicado: 28-2303-202204010021269 |  Número de Identificación: 901006886 |  Nombre o Razón Social: AGENCIA DE RENOVACIÓN DEL TERRITORIO ART |  País: COLOMBIA |  Departamento: BOGOTA |  Ciudad: BOGOTA |  Dirección: carrera 7 # 32 - 24 |  Teléfono: 4221030 |  E-mail: Olga.Burgos@renovacionterritorio.gov.co |  Número de Folios : 0 |  Tipología: Novedades AVC Monetarias |  Radicado de Correspondencia Recibida: 02-2303-202204010464432 | "/>
  </r>
  <r>
    <x v="8"/>
    <n v="12348891"/>
    <s v="Normal"/>
    <s v="28-4704-202204010021117"/>
    <x v="13"/>
    <d v="2022-04-08T00:00:00"/>
    <d v="2022-04-04T00:00:00"/>
    <n v="1"/>
    <s v="ABRIL"/>
    <s v="EN GESTIÓN"/>
    <x v="7"/>
    <x v="1"/>
    <x v="3"/>
    <s v=""/>
    <x v="2"/>
    <x v="0"/>
    <s v="Asistentes FNA"/>
    <s v="Radicado: 28-4704-202204010021117 |  Número de Identificación: 395224 |  Nombre o Razón Social: ANGELO  CARDAMURO |  País: COLOMBIA |  Departamento: QUINDIO |  Ciudad: SALENTO |  Dirección: CL 4   5-58 |  Teléfono: 3157872648 |  E-mail: ANGELOCARDAMURO@GMAIL.COM |  Número de Folios : 3 |  Tipología: Novedades AVC Monetarias |  Radicado de Correspondencia Recibida: 02-4704-202204010461511 | "/>
  </r>
  <r>
    <x v="8"/>
    <n v="12349122"/>
    <s v="Normal"/>
    <s v="28-4905-202204010021220"/>
    <x v="13"/>
    <d v="2022-04-08T00:00:00"/>
    <d v="2022-04-04T00:00:00"/>
    <n v="1"/>
    <s v="ABRIL"/>
    <s v="EN GESTIÓN"/>
    <x v="7"/>
    <x v="1"/>
    <x v="3"/>
    <s v=""/>
    <x v="2"/>
    <x v="0"/>
    <s v="Asistentes FNA"/>
    <s v="Radicado: 28-4905-202204010021220 |  Número de Identificación: 1030538667 |  Nombre o Razón Social: LATORRE MOLINA JOSE ASNETH |  País: COLOMBIA |  Departamento: CUNDINAMARCA |  Ciudad: EL COLEGIO |  Dirección: CLL 8#6-17 CENTRO |  Teléfono: 3213012412 |  Número de Folios : 2 |  Tipología: Novedades AVC Monetarias |  Radicado de Correspondencia Recibida: 02-4905-202204010462838 | "/>
  </r>
  <r>
    <x v="8"/>
    <n v="12349141"/>
    <s v="Normal"/>
    <s v="28-2303-202204010021275"/>
    <x v="13"/>
    <d v="2022-04-08T00:00:00"/>
    <d v="2022-04-04T00:00:00"/>
    <n v="1"/>
    <s v="ABRIL"/>
    <s v="EN GESTIÓN"/>
    <x v="7"/>
    <x v="1"/>
    <x v="3"/>
    <s v=""/>
    <x v="2"/>
    <x v="0"/>
    <s v="Asistentes FNA"/>
    <s v="Radicado: 28-2303-202204010021275 |  Número de Identificación: 763685 |  Nombre o Razón Social: VIVAS BARRETO MARCO ANTONIO |  País: COLOMBIA |  Departamento: BOGOTA |  Ciudad: BOGOTA |  Dirección: CARRERA 81 F # 1 A 18 |  Teléfono: 3219924253 |  E-mail: vivasmarco11@gmail.com |  Número de Folios : 0 |  Tipología: Novedades AVC Monetarias |  Radicado de Correspondencia Recibida: 02-2303-202204010464486 | "/>
  </r>
  <r>
    <x v="8"/>
    <n v="12336697"/>
    <s v="Visto bueno"/>
    <s v="04-4603-202203310016889"/>
    <x v="13"/>
    <d v="2022-04-08T00:00:00"/>
    <d v="2022-04-04T00:00:00"/>
    <n v="1"/>
    <s v="ABRIL"/>
    <s v="EN GESTIÓN"/>
    <x v="7"/>
    <x v="1"/>
    <x v="3"/>
    <s v=""/>
    <x v="3"/>
    <x v="0"/>
    <s v="Gestor de Reparto"/>
    <s v="Radicado: 04-4603-202203310016889 |  ¿Requiere que la petición sea anónima?: NO |  Tipo de documento: CEDULA DE CIUDADANIA |  Número de documento: 19360899 |  Apellidos y Nombres: ARMANDO JIMENEZ LEON |  Género: Masculino |  Pais de residencia: COLOMBIA |  Departamento de residencia: BOGOTA |  Ciudad de residencia: BOGOTA |  Dirección: CL 175 # 17B-10   |  Teléfono casa / oficina: 0 |  Teléfono Móvil: 3213434888 |  Autoriza el envío de la respuesta a su correo electrónico: SI |  Correo Electrónico: ARMJIMENEZ@YAHOO.ES |  Tipo de población: Cliente |  Tipo de petición: Escoja una opción |  Tipologia: PQRS |  Descripción de la petición: SOLICITUD |  Medio Recepción: Punto de atención |  Nivel de respuesta: Escoja una opción |  Area responsable: Escoja una opción |  Cédula Asesor: 1020744232 |  Nombre del Asesor: JUAN PABLO CASTILLO |  Punto de Atención: Angel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4603-202203310450840 |  Radicado respuesta:  |  Radicado respuesta Parcial:  |  Tipología (Homologada): PQRS |  Tipo Petición (Homologada): Escoja una opción | "/>
  </r>
  <r>
    <x v="8"/>
    <n v="12346995"/>
    <s v="Visto bueno"/>
    <s v="04-2303-202204010017276"/>
    <x v="13"/>
    <d v="2022-04-08T00:00:00"/>
    <d v="2022-04-04T00:00:00"/>
    <n v="1"/>
    <s v="ABRIL"/>
    <s v="EN GESTIÓN"/>
    <x v="7"/>
    <x v="1"/>
    <x v="3"/>
    <s v=""/>
    <x v="3"/>
    <x v="0"/>
    <s v="Gestor de Reparto"/>
    <s v="Radicado: 04-2303-202204010017276 |  ¿Requiere que la petición sea anónima?: NO |  Justifique la razón por la cual debe ser anónima:  |  Tipo de documento: CEDULA DE CIUDADANIA |  Número de documento: 1094931575 |  Apellidos y Nombres: ALVAREZ ACOSTA LUISA FERNANDA  |  Género: Femenino |  Pais de residencia: COLOMBIA |  Departamento de residencia: BOGOTA |  Ciudad de residencia: BOGOTA |  Dirección: MZ 8 # 12 LAS ACACIAS |  Teléfono casa / oficina: No aplica |  Teléfono Móvil: 3017268639 |  Autoriza el envío de la respuesta a su correo electrónico: SI |  Correo Electrónico: mini.fernandaa1@gmail.com |  Tipo de población: Cliente |  Tipo de petición: TRAMITES O SERVICIOS |  Tipologia: Solicitud acerca de Cuentas |  Descripción de la petición: SOLICITUD  |  Medio Recepción: Contáctenos |  Nivel de respuesta: No aplica |  Area responsable:  |  Cédula Asesor: No aplica |  Nombre del Asesor: No aplica |  Punto de Atención: No aplica |  Estado:  |  Motivo:  |  Imputable al FNA:  |  Correo electronico:  |  Área Responsable Insumo 5:  |  Usuario responsable insumo 5:  |  Área Responsable Insumo 6:  |  Usuario responsable insumo 6:  |  Área Responsable Insumo 7:  |  Usuario responsable insumo 7:  |  Área Responsable Insumo 8:  |  Usuario responsable insumo 8:  |  Radicado correspondencia recibida: 02-2303-202204010463529 |  Radicado respuesta:  |  Radicado respuesta Parcial:  |  Tipología (Homologada): Solicitud acerca de Cuentas |  Tipo Petición (Homologada): TRAMITES O SERVICIOS | "/>
  </r>
  <r>
    <x v="9"/>
    <n v="12342177"/>
    <s v="Normal"/>
    <s v="28-2303-202204010021035"/>
    <x v="13"/>
    <d v="2022-04-08T00:00:00"/>
    <d v="2022-04-04T00:00:00"/>
    <n v="1"/>
    <s v="ABRIL"/>
    <s v="EN GESTIÓN"/>
    <x v="7"/>
    <x v="1"/>
    <x v="3"/>
    <s v=""/>
    <x v="4"/>
    <x v="0"/>
    <s v="Asistentes FNA"/>
    <s v="Radicado: 28-2303-202204010021035 |  Número de Identificación: 8290018466 |  Nombre o Razón Social: ESE CENTRO SALUD BARRANCABERMEJA |  País: COLOMBIA |  Departamento: SANTANDER |  Ciudad: BARRANCABERMEJA |  Dirección: TV 47 A # 57 - 29 |  Teléfono: 6138154 |  E-mail: recursohumano@esebarrancabermeja.gov.co |  Número de Folios : 0 |  Tipología: Conciliacion SGP |  Radicado de Correspondencia Recibida: 02-2303-202204010460350 | "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  <r>
    <x v="10"/>
    <m/>
    <m/>
    <m/>
    <x v="14"/>
    <m/>
    <m/>
    <m/>
    <m/>
    <m/>
    <x v="8"/>
    <x v="2"/>
    <x v="6"/>
    <m/>
    <x v="5"/>
    <x v="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D46D6-B607-4D63-B152-0BA767B4269F}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16:H28" firstHeaderRow="1" firstDataRow="2" firstDataCol="1" rowPageCount="1" colPageCount="1"/>
  <pivotFields count="19">
    <pivotField axis="axisRow" dataField="1" showAll="0" sortType="descending">
      <items count="19">
        <item m="1" x="14"/>
        <item m="1" x="15"/>
        <item x="0"/>
        <item x="9"/>
        <item x="6"/>
        <item x="5"/>
        <item m="1" x="11"/>
        <item x="7"/>
        <item x="8"/>
        <item m="1" x="16"/>
        <item x="3"/>
        <item x="2"/>
        <item h="1" x="10"/>
        <item x="4"/>
        <item m="1" x="13"/>
        <item m="1" x="17"/>
        <item m="1" x="1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x="1"/>
        <item x="0"/>
        <item x="2"/>
        <item x="3"/>
        <item h="1" x="5"/>
        <item x="4"/>
        <item t="default"/>
      </items>
    </pivotField>
    <pivotField axis="axisPage" multipleItemSelectionAllowed="1" showAll="0">
      <items count="11">
        <item x="0"/>
        <item m="1" x="7"/>
        <item x="5"/>
        <item x="2"/>
        <item x="1"/>
        <item x="4"/>
        <item x="3"/>
        <item h="1" x="6"/>
        <item m="1" x="8"/>
        <item m="1" x="9"/>
        <item t="default"/>
      </items>
    </pivotField>
    <pivotField showAll="0"/>
    <pivotField showAll="0"/>
    <pivotField showAll="0"/>
  </pivotFields>
  <rowFields count="1">
    <field x="0"/>
  </rowFields>
  <rowItems count="11">
    <i>
      <x v="5"/>
    </i>
    <i>
      <x v="4"/>
    </i>
    <i>
      <x v="2"/>
    </i>
    <i>
      <x v="11"/>
    </i>
    <i>
      <x v="7"/>
    </i>
    <i>
      <x v="10"/>
    </i>
    <i>
      <x v="17"/>
    </i>
    <i>
      <x v="8"/>
    </i>
    <i>
      <x v="13"/>
    </i>
    <i>
      <x v="3"/>
    </i>
    <i t="grand">
      <x/>
    </i>
  </rowItems>
  <colFields count="1">
    <field x="14"/>
  </colFields>
  <colItems count="6">
    <i>
      <x/>
    </i>
    <i>
      <x v="1"/>
    </i>
    <i>
      <x v="2"/>
    </i>
    <i>
      <x v="3"/>
    </i>
    <i>
      <x v="5"/>
    </i>
    <i t="grand">
      <x/>
    </i>
  </colItems>
  <pageFields count="1">
    <pageField fld="15" hier="-1"/>
  </pageFields>
  <dataFields count="1">
    <dataField name="Cuenta de Responsable" fld="0" subtotal="count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70B53-B786-4A2C-A4CB-9DF57611946B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53:H58" firstHeaderRow="1" firstDataRow="2" firstDataCol="1"/>
  <pivotFields count="19">
    <pivotField showAll="0"/>
    <pivotField showAll="0"/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4" showAll="0"/>
    <pivotField numFmtId="1" showAll="0"/>
    <pivotField showAll="0"/>
    <pivotField showAll="0"/>
    <pivotField showAll="0"/>
    <pivotField showAll="0"/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descending">
      <items count="7">
        <item x="1"/>
        <item x="0"/>
        <item x="2"/>
        <item x="3"/>
        <item h="1"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2">
    <field x="18"/>
    <field x="4"/>
  </rowFields>
  <rowItems count="4">
    <i>
      <x v="2"/>
    </i>
    <i>
      <x v="3"/>
    </i>
    <i>
      <x v="4"/>
    </i>
    <i t="grand">
      <x/>
    </i>
  </rowItems>
  <colFields count="1">
    <field x="14"/>
  </colFields>
  <colItems count="6">
    <i>
      <x v="1"/>
    </i>
    <i>
      <x/>
    </i>
    <i>
      <x v="2"/>
    </i>
    <i>
      <x v="3"/>
    </i>
    <i>
      <x v="5"/>
    </i>
    <i t="grand">
      <x/>
    </i>
  </colItems>
  <dataFields count="1">
    <dataField name="Cuenta de Estado" fld="12" subtotal="count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4D25D-709D-432E-8928-01FCEE0631CF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4:C10" firstHeaderRow="1" firstDataRow="1" firstDataCol="1"/>
  <pivotFields count="19"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4" showAll="0"/>
    <pivotField numFmtId="1"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7">
        <item x="1"/>
        <item x="0"/>
        <item x="2"/>
        <item x="3"/>
        <item h="1"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4"/>
  </rowFields>
  <rowItems count="6">
    <i>
      <x v="1"/>
    </i>
    <i>
      <x/>
    </i>
    <i>
      <x v="2"/>
    </i>
    <i>
      <x v="3"/>
    </i>
    <i>
      <x v="5"/>
    </i>
    <i t="grand">
      <x/>
    </i>
  </rowItems>
  <colItems count="1">
    <i/>
  </colItems>
  <dataFields count="1">
    <dataField name="Cuenta de Proceso" fld="14" subtotal="count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0F6B96-020A-44C4-882D-CA6D62578D8F}" name="TablaDiná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J3:P21" firstHeaderRow="1" firstDataRow="2" firstDataCol="1"/>
  <pivotFields count="19">
    <pivotField showAll="0"/>
    <pivotField showAll="0"/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4" showAll="0"/>
    <pivotField numFmtId="1" showAll="0"/>
    <pivotField showAll="0"/>
    <pivotField showAll="0"/>
    <pivotField showAll="0"/>
    <pivotField showAll="0"/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descending">
      <items count="7">
        <item x="1"/>
        <item x="0"/>
        <item x="2"/>
        <item x="3"/>
        <item h="1"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Row" showAll="0">
      <items count="15">
        <item h="1" sd="0" x="0"/>
        <item sd="0" x="1"/>
        <item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2">
    <field x="18"/>
    <field x="4"/>
  </rowFields>
  <rowItems count="17">
    <i>
      <x v="2"/>
    </i>
    <i r="1">
      <x v="39"/>
    </i>
    <i>
      <x v="3"/>
    </i>
    <i r="1">
      <x v="70"/>
    </i>
    <i r="1">
      <x v="71"/>
    </i>
    <i r="1">
      <x v="75"/>
    </i>
    <i r="1">
      <x v="76"/>
    </i>
    <i r="1">
      <x v="77"/>
    </i>
    <i r="1">
      <x v="83"/>
    </i>
    <i r="1">
      <x v="84"/>
    </i>
    <i r="1">
      <x v="87"/>
    </i>
    <i r="1">
      <x v="88"/>
    </i>
    <i r="1">
      <x v="89"/>
    </i>
    <i r="1">
      <x v="90"/>
    </i>
    <i r="1">
      <x v="91"/>
    </i>
    <i>
      <x v="4"/>
    </i>
    <i t="grand">
      <x/>
    </i>
  </rowItems>
  <colFields count="1">
    <field x="14"/>
  </colFields>
  <colItems count="6">
    <i>
      <x v="1"/>
    </i>
    <i>
      <x/>
    </i>
    <i>
      <x v="2"/>
    </i>
    <i>
      <x v="3"/>
    </i>
    <i>
      <x v="5"/>
    </i>
    <i t="grand">
      <x/>
    </i>
  </colItems>
  <dataFields count="1">
    <dataField name="Cuenta de Estado" fld="12" subtotal="count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4CC1ED-43FD-471B-9B7F-4F66EC5B26AD}" name="TablaDinámica6" cacheId="0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7" indent="0" outline="1" outlineData="1" multipleFieldFilters="0" rowHeaderCaption="FUNCIONARIO">
  <location ref="B65:E74" firstHeaderRow="1" firstDataRow="2" firstDataCol="1" rowPageCount="1" colPageCount="1"/>
  <pivotFields count="19">
    <pivotField showAll="0"/>
    <pivotField showAll="0"/>
    <pivotField showAll="0"/>
    <pivotField showAll="0"/>
    <pivotField numFmtId="14" showAll="0"/>
    <pivotField showAll="0"/>
    <pivotField numFmtId="14" showAll="0"/>
    <pivotField numFmtId="1" showAll="0"/>
    <pivotField showAll="0"/>
    <pivotField showAll="0"/>
    <pivotField axis="axisRow" dataField="1" showAll="0" sortType="descending">
      <items count="18">
        <item n="JULIETH QUIROGA" x="0"/>
        <item n="JHONIER LEON" x="1"/>
        <item n="KELLY RIVERA" m="1" x="10"/>
        <item n="ALBEIRO BABATIVA" m="1" x="13"/>
        <item n="HANZ OCAMPO" m="1" x="9"/>
        <item n="PAULA CASTILLO" x="2"/>
        <item h="1" x="8"/>
        <item n="JOSE RAMIREZ" x="6"/>
        <item n="LEIDER JULIAN SIERRA" x="5"/>
        <item n="OSCAR REYES" x="3"/>
        <item n="MAYRA ESPEJO" m="1" x="16"/>
        <item n="ARMANDO RODRIGUEZ" m="1" x="14"/>
        <item m="1" x="15"/>
        <item h="1" x="7"/>
        <item n="CAMILO OLARTE" m="1" x="11"/>
        <item n="EMELY FLOREZ" m="1" x="12"/>
        <item n="LUZ ANGELA SUAREZ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6">
        <item h="1" m="1" x="4"/>
        <item h="1" m="1" x="3"/>
        <item x="0"/>
        <item h="1" x="2"/>
        <item h="1" x="1"/>
        <item t="default"/>
      </items>
    </pivotField>
    <pivotField showAll="0"/>
    <pivotField showAll="0"/>
    <pivotField axis="axisCol" showAll="0" sortType="descending">
      <items count="7">
        <item x="1"/>
        <item x="0"/>
        <item x="2"/>
        <item x="3"/>
        <item h="1"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10"/>
  </rowFields>
  <rowItems count="8">
    <i>
      <x v="1"/>
    </i>
    <i>
      <x/>
    </i>
    <i>
      <x v="7"/>
    </i>
    <i>
      <x v="5"/>
    </i>
    <i>
      <x v="8"/>
    </i>
    <i>
      <x v="16"/>
    </i>
    <i>
      <x v="9"/>
    </i>
    <i t="grand">
      <x/>
    </i>
  </rowItems>
  <colFields count="1">
    <field x="14"/>
  </colFields>
  <colItems count="3">
    <i>
      <x v="1"/>
    </i>
    <i>
      <x/>
    </i>
    <i t="grand">
      <x/>
    </i>
  </colItems>
  <pageFields count="1">
    <pageField fld="11" hier="-1"/>
  </pageFields>
  <dataFields count="1">
    <dataField name="Cuenta de Usuario Notificación" fld="10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9ED67-D1AF-48B6-BC48-12BD4D298F77}" name="TablaDiná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7:H45" firstHeaderRow="1" firstDataRow="2" firstDataCol="1"/>
  <pivotFields count="19"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4" showAll="0"/>
    <pivotField numFmtId="1" showAll="0"/>
    <pivotField showAll="0"/>
    <pivotField showAll="0"/>
    <pivotField showAll="0"/>
    <pivotField showAll="0"/>
    <pivotField axis="axisRow" dataField="1" showAll="0" sortType="descending">
      <items count="12">
        <item x="3"/>
        <item x="0"/>
        <item m="1" x="9"/>
        <item x="2"/>
        <item x="5"/>
        <item x="4"/>
        <item x="1"/>
        <item h="1" x="6"/>
        <item m="1" x="8"/>
        <item m="1" x="10"/>
        <item m="1"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descending">
      <items count="7">
        <item x="1"/>
        <item x="0"/>
        <item x="2"/>
        <item x="3"/>
        <item h="1"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2"/>
  </rowFields>
  <rowItems count="7">
    <i>
      <x/>
    </i>
    <i>
      <x v="6"/>
    </i>
    <i>
      <x v="3"/>
    </i>
    <i>
      <x v="5"/>
    </i>
    <i>
      <x v="4"/>
    </i>
    <i>
      <x v="1"/>
    </i>
    <i t="grand">
      <x/>
    </i>
  </rowItems>
  <colFields count="1">
    <field x="14"/>
  </colFields>
  <colItems count="6">
    <i>
      <x v="1"/>
    </i>
    <i>
      <x/>
    </i>
    <i>
      <x v="2"/>
    </i>
    <i>
      <x v="3"/>
    </i>
    <i>
      <x v="5"/>
    </i>
    <i t="grand">
      <x/>
    </i>
  </colItems>
  <dataFields count="1">
    <dataField name="Cuenta de Estado" fld="12" subtotal="count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D620D-E5D5-4EC9-8FC4-5A0F440806B3}">
  <sheetPr codeName="Hoja9"/>
  <dimension ref="A1:R257"/>
  <sheetViews>
    <sheetView showGridLines="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6" width="11.42578125" style="42"/>
    <col min="7" max="7" width="11.42578125" style="41"/>
    <col min="8" max="18" width="11.42578125" style="42"/>
  </cols>
  <sheetData>
    <row r="1" spans="1:18" x14ac:dyDescent="0.25">
      <c r="A1" s="27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9" t="s">
        <v>6</v>
      </c>
      <c r="H1"/>
      <c r="I1"/>
      <c r="J1"/>
      <c r="K1"/>
      <c r="L1"/>
      <c r="M1"/>
      <c r="N1"/>
      <c r="O1"/>
      <c r="P1"/>
      <c r="Q1"/>
      <c r="R1"/>
    </row>
    <row r="2" spans="1:18" x14ac:dyDescent="0.25">
      <c r="A2" s="42" t="s">
        <v>17</v>
      </c>
      <c r="B2" s="42">
        <v>12320071</v>
      </c>
      <c r="C2" s="42" t="s">
        <v>9</v>
      </c>
      <c r="D2" s="42" t="s">
        <v>26</v>
      </c>
      <c r="E2" s="42">
        <v>2</v>
      </c>
      <c r="F2" s="42" t="s">
        <v>12</v>
      </c>
      <c r="G2" s="41" t="s">
        <v>340</v>
      </c>
    </row>
    <row r="3" spans="1:18" x14ac:dyDescent="0.25">
      <c r="A3" s="42" t="s">
        <v>17</v>
      </c>
      <c r="B3" s="42">
        <v>12323012</v>
      </c>
      <c r="C3" s="42" t="s">
        <v>9</v>
      </c>
      <c r="D3" s="42" t="s">
        <v>26</v>
      </c>
      <c r="E3" s="42">
        <v>2</v>
      </c>
      <c r="F3" s="42" t="s">
        <v>12</v>
      </c>
      <c r="G3" s="41" t="s">
        <v>343</v>
      </c>
    </row>
    <row r="4" spans="1:18" x14ac:dyDescent="0.25">
      <c r="A4" s="42" t="s">
        <v>17</v>
      </c>
      <c r="B4" s="42">
        <v>12327569</v>
      </c>
      <c r="C4" s="42" t="s">
        <v>9</v>
      </c>
      <c r="D4" s="42" t="s">
        <v>26</v>
      </c>
      <c r="E4" s="42">
        <v>2</v>
      </c>
      <c r="F4" s="42" t="s">
        <v>12</v>
      </c>
      <c r="G4" s="41" t="s">
        <v>450</v>
      </c>
    </row>
    <row r="5" spans="1:18" x14ac:dyDescent="0.25">
      <c r="A5" s="42" t="s">
        <v>17</v>
      </c>
      <c r="B5" s="42">
        <v>12256456</v>
      </c>
      <c r="C5" s="42" t="s">
        <v>9</v>
      </c>
      <c r="D5" s="42" t="s">
        <v>26</v>
      </c>
      <c r="E5" s="42">
        <v>10</v>
      </c>
      <c r="F5" s="42" t="s">
        <v>20</v>
      </c>
      <c r="G5" s="41" t="s">
        <v>452</v>
      </c>
    </row>
    <row r="6" spans="1:18" x14ac:dyDescent="0.25">
      <c r="A6" s="42" t="s">
        <v>17</v>
      </c>
      <c r="B6" s="42">
        <v>12332446</v>
      </c>
      <c r="C6" s="42" t="s">
        <v>9</v>
      </c>
      <c r="D6" s="42" t="s">
        <v>26</v>
      </c>
      <c r="E6" s="42">
        <v>2</v>
      </c>
      <c r="F6" s="42" t="s">
        <v>12</v>
      </c>
      <c r="G6" s="41" t="s">
        <v>454</v>
      </c>
    </row>
    <row r="7" spans="1:18" x14ac:dyDescent="0.25">
      <c r="A7" s="42" t="s">
        <v>15</v>
      </c>
      <c r="B7" s="42">
        <v>12255846</v>
      </c>
      <c r="C7" s="42" t="s">
        <v>9</v>
      </c>
      <c r="D7" s="42" t="s">
        <v>26</v>
      </c>
      <c r="E7" s="42">
        <v>8</v>
      </c>
      <c r="F7" s="42" t="s">
        <v>131</v>
      </c>
      <c r="G7" s="41" t="s">
        <v>205</v>
      </c>
    </row>
    <row r="8" spans="1:18" x14ac:dyDescent="0.25">
      <c r="A8" s="42" t="s">
        <v>15</v>
      </c>
      <c r="B8" s="42">
        <v>12292646</v>
      </c>
      <c r="C8" s="42" t="s">
        <v>9</v>
      </c>
      <c r="D8" s="42" t="s">
        <v>26</v>
      </c>
      <c r="E8" s="42">
        <v>8</v>
      </c>
      <c r="F8" s="42" t="s">
        <v>131</v>
      </c>
      <c r="G8" s="41" t="s">
        <v>455</v>
      </c>
    </row>
    <row r="9" spans="1:18" x14ac:dyDescent="0.25">
      <c r="A9" s="42" t="s">
        <v>17</v>
      </c>
      <c r="B9" s="42">
        <v>12337275</v>
      </c>
      <c r="C9" s="42" t="s">
        <v>9</v>
      </c>
      <c r="D9" s="42" t="s">
        <v>26</v>
      </c>
      <c r="E9" s="42">
        <v>2</v>
      </c>
      <c r="F9" s="42" t="s">
        <v>12</v>
      </c>
      <c r="G9" s="41" t="s">
        <v>456</v>
      </c>
    </row>
    <row r="10" spans="1:18" x14ac:dyDescent="0.25">
      <c r="A10" s="42" t="s">
        <v>15</v>
      </c>
      <c r="B10" s="42">
        <v>12341906</v>
      </c>
      <c r="C10" s="42" t="s">
        <v>9</v>
      </c>
      <c r="D10" s="42" t="s">
        <v>26</v>
      </c>
      <c r="E10" s="42">
        <v>2</v>
      </c>
      <c r="F10" s="42" t="s">
        <v>12</v>
      </c>
      <c r="G10" s="41" t="s">
        <v>650</v>
      </c>
    </row>
    <row r="11" spans="1:18" x14ac:dyDescent="0.25">
      <c r="A11" s="42" t="s">
        <v>17</v>
      </c>
      <c r="B11" s="42">
        <v>12342406</v>
      </c>
      <c r="C11" s="42" t="s">
        <v>9</v>
      </c>
      <c r="D11" s="42" t="s">
        <v>26</v>
      </c>
      <c r="E11" s="42">
        <v>2</v>
      </c>
      <c r="F11" s="42" t="s">
        <v>12</v>
      </c>
      <c r="G11" s="41" t="s">
        <v>651</v>
      </c>
    </row>
    <row r="12" spans="1:18" x14ac:dyDescent="0.25">
      <c r="A12" s="42" t="s">
        <v>15</v>
      </c>
      <c r="B12" s="42">
        <v>12342663</v>
      </c>
      <c r="C12" s="42" t="s">
        <v>9</v>
      </c>
      <c r="D12" s="42" t="s">
        <v>26</v>
      </c>
      <c r="E12" s="42">
        <v>2</v>
      </c>
      <c r="F12" s="42" t="s">
        <v>12</v>
      </c>
      <c r="G12" s="41" t="s">
        <v>652</v>
      </c>
    </row>
    <row r="13" spans="1:18" x14ac:dyDescent="0.25">
      <c r="A13" s="42" t="s">
        <v>17</v>
      </c>
      <c r="B13" s="42">
        <v>12342875</v>
      </c>
      <c r="C13" s="42" t="s">
        <v>9</v>
      </c>
      <c r="D13" s="42" t="s">
        <v>26</v>
      </c>
      <c r="E13" s="42">
        <v>2</v>
      </c>
      <c r="F13" s="42" t="s">
        <v>12</v>
      </c>
      <c r="G13" s="41" t="s">
        <v>653</v>
      </c>
    </row>
    <row r="14" spans="1:18" x14ac:dyDescent="0.25">
      <c r="A14" s="42" t="s">
        <v>15</v>
      </c>
      <c r="B14" s="42">
        <v>12344261</v>
      </c>
      <c r="C14" s="42" t="s">
        <v>9</v>
      </c>
      <c r="D14" s="42" t="s">
        <v>26</v>
      </c>
      <c r="E14" s="42">
        <v>2</v>
      </c>
      <c r="F14" s="42" t="s">
        <v>12</v>
      </c>
      <c r="G14" s="41" t="s">
        <v>654</v>
      </c>
    </row>
    <row r="15" spans="1:18" x14ac:dyDescent="0.25">
      <c r="A15" s="42" t="s">
        <v>17</v>
      </c>
      <c r="B15" s="42">
        <v>12344392</v>
      </c>
      <c r="C15" s="42" t="s">
        <v>9</v>
      </c>
      <c r="D15" s="42" t="s">
        <v>26</v>
      </c>
      <c r="E15" s="42">
        <v>2</v>
      </c>
      <c r="F15" s="42" t="s">
        <v>12</v>
      </c>
      <c r="G15" s="41" t="s">
        <v>655</v>
      </c>
    </row>
    <row r="16" spans="1:18" x14ac:dyDescent="0.25">
      <c r="A16" s="42" t="s">
        <v>15</v>
      </c>
      <c r="B16" s="42">
        <v>12347832</v>
      </c>
      <c r="C16" s="42" t="s">
        <v>9</v>
      </c>
      <c r="D16" s="42" t="s">
        <v>26</v>
      </c>
      <c r="E16" s="42">
        <v>2</v>
      </c>
      <c r="F16" s="42" t="s">
        <v>12</v>
      </c>
      <c r="G16" s="41" t="s">
        <v>656</v>
      </c>
    </row>
    <row r="17" spans="1:7" x14ac:dyDescent="0.25">
      <c r="A17" s="42" t="s">
        <v>17</v>
      </c>
      <c r="B17" s="42">
        <v>12348052</v>
      </c>
      <c r="C17" s="42" t="s">
        <v>9</v>
      </c>
      <c r="D17" s="42" t="s">
        <v>26</v>
      </c>
      <c r="E17" s="42">
        <v>2</v>
      </c>
      <c r="F17" s="42" t="s">
        <v>12</v>
      </c>
      <c r="G17" s="41" t="s">
        <v>657</v>
      </c>
    </row>
    <row r="18" spans="1:7" x14ac:dyDescent="0.25">
      <c r="A18" s="42" t="s">
        <v>15</v>
      </c>
      <c r="B18" s="42">
        <v>12349159</v>
      </c>
      <c r="C18" s="42" t="s">
        <v>9</v>
      </c>
      <c r="D18" s="42" t="s">
        <v>26</v>
      </c>
      <c r="E18" s="42">
        <v>2</v>
      </c>
      <c r="F18" s="42" t="s">
        <v>12</v>
      </c>
      <c r="G18" s="41" t="s">
        <v>658</v>
      </c>
    </row>
    <row r="19" spans="1:7" x14ac:dyDescent="0.25">
      <c r="A19" s="42" t="s">
        <v>17</v>
      </c>
      <c r="B19" s="42">
        <v>12349193</v>
      </c>
      <c r="C19" s="42" t="s">
        <v>9</v>
      </c>
      <c r="D19" s="42" t="s">
        <v>26</v>
      </c>
      <c r="E19" s="42">
        <v>2</v>
      </c>
      <c r="F19" s="42" t="s">
        <v>12</v>
      </c>
      <c r="G19" s="41" t="s">
        <v>659</v>
      </c>
    </row>
    <row r="20" spans="1:7" x14ac:dyDescent="0.25">
      <c r="A20" s="42" t="s">
        <v>15</v>
      </c>
      <c r="B20" s="42">
        <v>12349241</v>
      </c>
      <c r="C20" s="42" t="s">
        <v>9</v>
      </c>
      <c r="D20" s="42" t="s">
        <v>26</v>
      </c>
      <c r="E20" s="42">
        <v>2</v>
      </c>
      <c r="F20" s="42" t="s">
        <v>12</v>
      </c>
      <c r="G20" s="41" t="s">
        <v>660</v>
      </c>
    </row>
    <row r="21" spans="1:7" x14ac:dyDescent="0.25">
      <c r="A21" s="42" t="s">
        <v>17</v>
      </c>
      <c r="B21" s="42">
        <v>12352665</v>
      </c>
      <c r="C21" s="42" t="s">
        <v>9</v>
      </c>
      <c r="D21" s="42" t="s">
        <v>26</v>
      </c>
      <c r="E21" s="42">
        <v>2</v>
      </c>
      <c r="F21" s="42" t="s">
        <v>12</v>
      </c>
      <c r="G21" s="41" t="s">
        <v>661</v>
      </c>
    </row>
    <row r="22" spans="1:7" x14ac:dyDescent="0.25">
      <c r="A22" s="42" t="s">
        <v>15</v>
      </c>
      <c r="B22" s="42">
        <v>12196873</v>
      </c>
      <c r="C22" s="42" t="s">
        <v>9</v>
      </c>
      <c r="D22" s="42" t="s">
        <v>26</v>
      </c>
      <c r="E22" s="42">
        <v>10</v>
      </c>
      <c r="F22" s="42" t="s">
        <v>20</v>
      </c>
      <c r="G22" s="41" t="s">
        <v>150</v>
      </c>
    </row>
    <row r="23" spans="1:7" x14ac:dyDescent="0.25">
      <c r="A23" s="42" t="s">
        <v>15</v>
      </c>
      <c r="B23" s="42">
        <v>12307831</v>
      </c>
      <c r="C23" s="42" t="s">
        <v>9</v>
      </c>
      <c r="D23" s="42" t="s">
        <v>26</v>
      </c>
      <c r="E23" s="42">
        <v>2</v>
      </c>
      <c r="F23" s="42" t="s">
        <v>12</v>
      </c>
      <c r="G23" s="41" t="s">
        <v>234</v>
      </c>
    </row>
    <row r="24" spans="1:7" x14ac:dyDescent="0.25">
      <c r="A24" s="42" t="s">
        <v>17</v>
      </c>
      <c r="B24" s="42">
        <v>12270922</v>
      </c>
      <c r="C24" s="42" t="s">
        <v>9</v>
      </c>
      <c r="D24" s="42" t="s">
        <v>26</v>
      </c>
      <c r="E24" s="42">
        <v>2</v>
      </c>
      <c r="F24" s="42" t="s">
        <v>12</v>
      </c>
      <c r="G24" s="41" t="s">
        <v>168</v>
      </c>
    </row>
    <row r="25" spans="1:7" x14ac:dyDescent="0.25">
      <c r="A25" s="42" t="s">
        <v>17</v>
      </c>
      <c r="B25" s="42">
        <v>12310324</v>
      </c>
      <c r="C25" s="42" t="s">
        <v>9</v>
      </c>
      <c r="D25" s="42" t="s">
        <v>26</v>
      </c>
      <c r="E25" s="42">
        <v>2</v>
      </c>
      <c r="F25" s="42" t="s">
        <v>12</v>
      </c>
      <c r="G25" s="41" t="s">
        <v>235</v>
      </c>
    </row>
    <row r="26" spans="1:7" x14ac:dyDescent="0.25">
      <c r="A26" s="42" t="s">
        <v>15</v>
      </c>
      <c r="B26" s="42">
        <v>12311658</v>
      </c>
      <c r="C26" s="42" t="s">
        <v>9</v>
      </c>
      <c r="D26" s="42" t="s">
        <v>26</v>
      </c>
      <c r="E26" s="42">
        <v>2</v>
      </c>
      <c r="F26" s="42" t="s">
        <v>12</v>
      </c>
      <c r="G26" s="41" t="s">
        <v>236</v>
      </c>
    </row>
    <row r="27" spans="1:7" x14ac:dyDescent="0.25">
      <c r="A27" s="42" t="s">
        <v>17</v>
      </c>
      <c r="B27" s="42">
        <v>12311884</v>
      </c>
      <c r="C27" s="42" t="s">
        <v>9</v>
      </c>
      <c r="D27" s="42" t="s">
        <v>26</v>
      </c>
      <c r="E27" s="42">
        <v>2</v>
      </c>
      <c r="F27" s="42" t="s">
        <v>12</v>
      </c>
      <c r="G27" s="41" t="s">
        <v>237</v>
      </c>
    </row>
    <row r="28" spans="1:7" x14ac:dyDescent="0.25">
      <c r="A28" s="42" t="s">
        <v>15</v>
      </c>
      <c r="B28" s="42">
        <v>12263073</v>
      </c>
      <c r="C28" s="42" t="s">
        <v>9</v>
      </c>
      <c r="D28" s="42" t="s">
        <v>26</v>
      </c>
      <c r="E28" s="42">
        <v>8</v>
      </c>
      <c r="F28" s="42" t="s">
        <v>131</v>
      </c>
      <c r="G28" s="41" t="s">
        <v>206</v>
      </c>
    </row>
    <row r="29" spans="1:7" x14ac:dyDescent="0.25">
      <c r="A29" s="42" t="s">
        <v>15</v>
      </c>
      <c r="B29" s="42">
        <v>12314019</v>
      </c>
      <c r="C29" s="42" t="s">
        <v>9</v>
      </c>
      <c r="D29" s="42" t="s">
        <v>26</v>
      </c>
      <c r="E29" s="42">
        <v>2</v>
      </c>
      <c r="F29" s="42" t="s">
        <v>12</v>
      </c>
      <c r="G29" s="41" t="s">
        <v>238</v>
      </c>
    </row>
    <row r="30" spans="1:7" x14ac:dyDescent="0.25">
      <c r="A30" s="42" t="s">
        <v>17</v>
      </c>
      <c r="B30" s="42">
        <v>12314490</v>
      </c>
      <c r="C30" s="42" t="s">
        <v>9</v>
      </c>
      <c r="D30" s="42" t="s">
        <v>26</v>
      </c>
      <c r="E30" s="42">
        <v>2</v>
      </c>
      <c r="F30" s="42" t="s">
        <v>12</v>
      </c>
      <c r="G30" s="41" t="s">
        <v>239</v>
      </c>
    </row>
    <row r="31" spans="1:7" x14ac:dyDescent="0.25">
      <c r="A31" s="42" t="s">
        <v>17</v>
      </c>
      <c r="B31" s="42">
        <v>12316893</v>
      </c>
      <c r="C31" s="42" t="s">
        <v>9</v>
      </c>
      <c r="D31" s="42" t="s">
        <v>26</v>
      </c>
      <c r="E31" s="42">
        <v>2</v>
      </c>
      <c r="F31" s="42" t="s">
        <v>12</v>
      </c>
      <c r="G31" s="41" t="s">
        <v>337</v>
      </c>
    </row>
    <row r="32" spans="1:7" x14ac:dyDescent="0.25">
      <c r="A32" s="42" t="s">
        <v>17</v>
      </c>
      <c r="B32" s="42">
        <v>12317781</v>
      </c>
      <c r="C32" s="42" t="s">
        <v>9</v>
      </c>
      <c r="D32" s="42" t="s">
        <v>26</v>
      </c>
      <c r="E32" s="42">
        <v>2</v>
      </c>
      <c r="F32" s="42" t="s">
        <v>12</v>
      </c>
      <c r="G32" s="41" t="s">
        <v>339</v>
      </c>
    </row>
    <row r="33" spans="1:7" x14ac:dyDescent="0.25">
      <c r="A33" s="42" t="s">
        <v>15</v>
      </c>
      <c r="B33" s="42">
        <v>12324671</v>
      </c>
      <c r="C33" s="42" t="s">
        <v>9</v>
      </c>
      <c r="D33" s="42" t="s">
        <v>26</v>
      </c>
      <c r="E33" s="42">
        <v>2</v>
      </c>
      <c r="F33" s="42" t="s">
        <v>12</v>
      </c>
      <c r="G33" s="41" t="s">
        <v>344</v>
      </c>
    </row>
    <row r="34" spans="1:7" x14ac:dyDescent="0.25">
      <c r="A34" s="42" t="s">
        <v>15</v>
      </c>
      <c r="B34" s="42">
        <v>12328229</v>
      </c>
      <c r="C34" s="42" t="s">
        <v>9</v>
      </c>
      <c r="D34" s="42" t="s">
        <v>26</v>
      </c>
      <c r="E34" s="42">
        <v>2</v>
      </c>
      <c r="F34" s="42" t="s">
        <v>12</v>
      </c>
      <c r="G34" s="41" t="s">
        <v>457</v>
      </c>
    </row>
    <row r="35" spans="1:7" x14ac:dyDescent="0.25">
      <c r="A35" s="42" t="s">
        <v>15</v>
      </c>
      <c r="B35" s="42">
        <v>12333122</v>
      </c>
      <c r="C35" s="42" t="s">
        <v>9</v>
      </c>
      <c r="D35" s="42" t="s">
        <v>26</v>
      </c>
      <c r="E35" s="42">
        <v>2</v>
      </c>
      <c r="F35" s="42" t="s">
        <v>12</v>
      </c>
      <c r="G35" s="41" t="s">
        <v>460</v>
      </c>
    </row>
    <row r="36" spans="1:7" x14ac:dyDescent="0.25">
      <c r="A36" s="42" t="s">
        <v>119</v>
      </c>
      <c r="B36" s="42">
        <v>12270922</v>
      </c>
      <c r="C36" s="42" t="s">
        <v>24</v>
      </c>
      <c r="D36" s="42" t="s">
        <v>26</v>
      </c>
      <c r="E36" s="42">
        <v>2</v>
      </c>
      <c r="F36" s="42" t="s">
        <v>12</v>
      </c>
      <c r="G36" s="41" t="s">
        <v>168</v>
      </c>
    </row>
    <row r="37" spans="1:7" x14ac:dyDescent="0.25">
      <c r="A37" s="42" t="s">
        <v>17</v>
      </c>
      <c r="B37" s="42">
        <v>12327018</v>
      </c>
      <c r="C37" s="42" t="s">
        <v>9</v>
      </c>
      <c r="D37" s="42" t="s">
        <v>8</v>
      </c>
      <c r="E37" s="42">
        <v>2</v>
      </c>
      <c r="F37" s="42" t="s">
        <v>12</v>
      </c>
      <c r="G37" s="41" t="s">
        <v>461</v>
      </c>
    </row>
    <row r="38" spans="1:7" x14ac:dyDescent="0.25">
      <c r="A38" s="42" t="s">
        <v>17</v>
      </c>
      <c r="B38" s="42">
        <v>12330938</v>
      </c>
      <c r="C38" s="42" t="s">
        <v>9</v>
      </c>
      <c r="D38" s="42" t="s">
        <v>8</v>
      </c>
      <c r="E38" s="42">
        <v>2</v>
      </c>
      <c r="F38" s="42" t="s">
        <v>12</v>
      </c>
      <c r="G38" s="41" t="s">
        <v>467</v>
      </c>
    </row>
    <row r="39" spans="1:7" x14ac:dyDescent="0.25">
      <c r="A39" s="42" t="s">
        <v>17</v>
      </c>
      <c r="B39" s="42">
        <v>12334118</v>
      </c>
      <c r="C39" s="42" t="s">
        <v>9</v>
      </c>
      <c r="D39" s="42" t="s">
        <v>8</v>
      </c>
      <c r="E39" s="42">
        <v>2</v>
      </c>
      <c r="F39" s="42" t="s">
        <v>12</v>
      </c>
      <c r="G39" s="41" t="s">
        <v>471</v>
      </c>
    </row>
    <row r="40" spans="1:7" x14ac:dyDescent="0.25">
      <c r="A40" s="42" t="s">
        <v>15</v>
      </c>
      <c r="B40" s="42">
        <v>11854248</v>
      </c>
      <c r="C40" s="42" t="s">
        <v>7</v>
      </c>
      <c r="D40" s="42" t="s">
        <v>8</v>
      </c>
      <c r="E40" s="42">
        <v>2</v>
      </c>
      <c r="F40" s="42" t="s">
        <v>12</v>
      </c>
      <c r="G40" s="41" t="s">
        <v>25</v>
      </c>
    </row>
    <row r="41" spans="1:7" x14ac:dyDescent="0.25">
      <c r="A41" s="42" t="s">
        <v>137</v>
      </c>
      <c r="B41" s="42">
        <v>12302152</v>
      </c>
      <c r="C41" s="42" t="s">
        <v>14</v>
      </c>
      <c r="D41" s="42" t="s">
        <v>8</v>
      </c>
      <c r="E41" s="42">
        <v>7</v>
      </c>
      <c r="F41" s="42" t="s">
        <v>20</v>
      </c>
      <c r="G41" s="41" t="s">
        <v>389</v>
      </c>
    </row>
    <row r="42" spans="1:7" x14ac:dyDescent="0.25">
      <c r="A42" s="42" t="s">
        <v>137</v>
      </c>
      <c r="B42" s="42">
        <v>12285763</v>
      </c>
      <c r="C42" s="42" t="s">
        <v>14</v>
      </c>
      <c r="D42" s="42" t="s">
        <v>8</v>
      </c>
      <c r="E42" s="42">
        <v>7</v>
      </c>
      <c r="F42" s="42" t="s">
        <v>20</v>
      </c>
      <c r="G42" s="41" t="s">
        <v>392</v>
      </c>
    </row>
    <row r="43" spans="1:7" x14ac:dyDescent="0.25">
      <c r="A43" s="42" t="s">
        <v>137</v>
      </c>
      <c r="B43" s="42">
        <v>12297589</v>
      </c>
      <c r="C43" s="42" t="s">
        <v>14</v>
      </c>
      <c r="D43" s="42" t="s">
        <v>8</v>
      </c>
      <c r="E43" s="42">
        <v>7</v>
      </c>
      <c r="F43" s="42" t="s">
        <v>20</v>
      </c>
      <c r="G43" s="41" t="s">
        <v>394</v>
      </c>
    </row>
    <row r="44" spans="1:7" x14ac:dyDescent="0.25">
      <c r="A44" s="42" t="s">
        <v>137</v>
      </c>
      <c r="B44" s="42">
        <v>12281197</v>
      </c>
      <c r="C44" s="42" t="s">
        <v>14</v>
      </c>
      <c r="D44" s="42" t="s">
        <v>8</v>
      </c>
      <c r="E44" s="42">
        <v>7</v>
      </c>
      <c r="F44" s="42" t="s">
        <v>20</v>
      </c>
      <c r="G44" s="41" t="s">
        <v>396</v>
      </c>
    </row>
    <row r="45" spans="1:7" x14ac:dyDescent="0.25">
      <c r="A45" s="42" t="s">
        <v>137</v>
      </c>
      <c r="B45" s="42">
        <v>12207620</v>
      </c>
      <c r="C45" s="42" t="s">
        <v>14</v>
      </c>
      <c r="D45" s="42" t="s">
        <v>8</v>
      </c>
      <c r="E45" s="42">
        <v>7</v>
      </c>
      <c r="F45" s="42" t="s">
        <v>20</v>
      </c>
      <c r="G45" s="41" t="s">
        <v>502</v>
      </c>
    </row>
    <row r="46" spans="1:7" x14ac:dyDescent="0.25">
      <c r="A46" s="42" t="s">
        <v>137</v>
      </c>
      <c r="B46" s="42">
        <v>12152695</v>
      </c>
      <c r="C46" s="42" t="s">
        <v>14</v>
      </c>
      <c r="D46" s="42" t="s">
        <v>8</v>
      </c>
      <c r="E46" s="42">
        <v>7</v>
      </c>
      <c r="F46" s="42" t="s">
        <v>20</v>
      </c>
      <c r="G46" s="41" t="s">
        <v>503</v>
      </c>
    </row>
    <row r="47" spans="1:7" x14ac:dyDescent="0.25">
      <c r="A47" s="42" t="s">
        <v>137</v>
      </c>
      <c r="B47" s="42">
        <v>12278245</v>
      </c>
      <c r="C47" s="42" t="s">
        <v>14</v>
      </c>
      <c r="D47" s="42" t="s">
        <v>8</v>
      </c>
      <c r="E47" s="42">
        <v>7</v>
      </c>
      <c r="F47" s="42" t="s">
        <v>20</v>
      </c>
      <c r="G47" s="41" t="s">
        <v>504</v>
      </c>
    </row>
    <row r="48" spans="1:7" x14ac:dyDescent="0.25">
      <c r="A48" s="42" t="s">
        <v>137</v>
      </c>
      <c r="B48" s="42">
        <v>12279177</v>
      </c>
      <c r="C48" s="42" t="s">
        <v>14</v>
      </c>
      <c r="D48" s="42" t="s">
        <v>8</v>
      </c>
      <c r="E48" s="42">
        <v>7</v>
      </c>
      <c r="F48" s="42" t="s">
        <v>20</v>
      </c>
      <c r="G48" s="41" t="s">
        <v>505</v>
      </c>
    </row>
    <row r="49" spans="1:7" x14ac:dyDescent="0.25">
      <c r="A49" s="42" t="s">
        <v>23</v>
      </c>
      <c r="B49" s="42">
        <v>12329211</v>
      </c>
      <c r="C49" s="42" t="s">
        <v>9</v>
      </c>
      <c r="D49" s="42" t="s">
        <v>8</v>
      </c>
      <c r="E49" s="42">
        <v>6</v>
      </c>
      <c r="F49" s="42" t="s">
        <v>19</v>
      </c>
      <c r="G49" s="41" t="s">
        <v>516</v>
      </c>
    </row>
    <row r="50" spans="1:7" x14ac:dyDescent="0.25">
      <c r="A50" s="42" t="s">
        <v>15</v>
      </c>
      <c r="B50" s="42">
        <v>12335685</v>
      </c>
      <c r="C50" s="42" t="s">
        <v>9</v>
      </c>
      <c r="D50" s="42" t="s">
        <v>8</v>
      </c>
      <c r="E50" s="42">
        <v>2</v>
      </c>
      <c r="F50" s="42" t="s">
        <v>12</v>
      </c>
      <c r="G50" s="41" t="s">
        <v>519</v>
      </c>
    </row>
    <row r="51" spans="1:7" x14ac:dyDescent="0.25">
      <c r="A51" s="42" t="s">
        <v>17</v>
      </c>
      <c r="B51" s="42">
        <v>12335718</v>
      </c>
      <c r="C51" s="42" t="s">
        <v>9</v>
      </c>
      <c r="D51" s="42" t="s">
        <v>8</v>
      </c>
      <c r="E51" s="42">
        <v>2</v>
      </c>
      <c r="F51" s="42" t="s">
        <v>12</v>
      </c>
      <c r="G51" s="41" t="s">
        <v>522</v>
      </c>
    </row>
    <row r="52" spans="1:7" x14ac:dyDescent="0.25">
      <c r="A52" s="42" t="s">
        <v>15</v>
      </c>
      <c r="B52" s="42">
        <v>12269803</v>
      </c>
      <c r="C52" s="42" t="s">
        <v>7</v>
      </c>
      <c r="D52" s="42" t="s">
        <v>8</v>
      </c>
      <c r="E52" s="42">
        <v>2</v>
      </c>
      <c r="F52" s="42" t="s">
        <v>12</v>
      </c>
      <c r="G52" s="41" t="s">
        <v>523</v>
      </c>
    </row>
    <row r="53" spans="1:7" x14ac:dyDescent="0.25">
      <c r="A53" s="42" t="s">
        <v>15</v>
      </c>
      <c r="B53" s="42">
        <v>12337045</v>
      </c>
      <c r="C53" s="42" t="s">
        <v>9</v>
      </c>
      <c r="D53" s="42" t="s">
        <v>8</v>
      </c>
      <c r="E53" s="42">
        <v>2</v>
      </c>
      <c r="F53" s="42" t="s">
        <v>12</v>
      </c>
      <c r="G53" s="41" t="s">
        <v>532</v>
      </c>
    </row>
    <row r="54" spans="1:7" x14ac:dyDescent="0.25">
      <c r="A54" s="42" t="s">
        <v>17</v>
      </c>
      <c r="B54" s="42">
        <v>12337132</v>
      </c>
      <c r="C54" s="42" t="s">
        <v>9</v>
      </c>
      <c r="D54" s="42" t="s">
        <v>8</v>
      </c>
      <c r="E54" s="42">
        <v>2</v>
      </c>
      <c r="F54" s="42" t="s">
        <v>12</v>
      </c>
      <c r="G54" s="41" t="s">
        <v>533</v>
      </c>
    </row>
    <row r="55" spans="1:7" x14ac:dyDescent="0.25">
      <c r="A55" s="42" t="s">
        <v>15</v>
      </c>
      <c r="B55" s="42">
        <v>12337833</v>
      </c>
      <c r="C55" s="42" t="s">
        <v>9</v>
      </c>
      <c r="D55" s="42" t="s">
        <v>8</v>
      </c>
      <c r="E55" s="42">
        <v>2</v>
      </c>
      <c r="F55" s="42" t="s">
        <v>12</v>
      </c>
      <c r="G55" s="41" t="s">
        <v>539</v>
      </c>
    </row>
    <row r="56" spans="1:7" x14ac:dyDescent="0.25">
      <c r="A56" s="42" t="s">
        <v>23</v>
      </c>
      <c r="B56" s="42">
        <v>12301789</v>
      </c>
      <c r="C56" s="42" t="s">
        <v>9</v>
      </c>
      <c r="D56" s="42" t="s">
        <v>8</v>
      </c>
      <c r="E56" s="42">
        <v>6</v>
      </c>
      <c r="F56" s="42" t="s">
        <v>19</v>
      </c>
      <c r="G56" s="41" t="s">
        <v>662</v>
      </c>
    </row>
    <row r="57" spans="1:7" x14ac:dyDescent="0.25">
      <c r="A57" s="42" t="s">
        <v>15</v>
      </c>
      <c r="B57" s="42">
        <v>12297509</v>
      </c>
      <c r="C57" s="42" t="s">
        <v>7</v>
      </c>
      <c r="D57" s="42" t="s">
        <v>8</v>
      </c>
      <c r="E57" s="42">
        <v>2</v>
      </c>
      <c r="F57" s="42" t="s">
        <v>12</v>
      </c>
      <c r="G57" s="41" t="s">
        <v>376</v>
      </c>
    </row>
    <row r="58" spans="1:7" x14ac:dyDescent="0.25">
      <c r="A58" s="42" t="s">
        <v>15</v>
      </c>
      <c r="B58" s="42">
        <v>12341515</v>
      </c>
      <c r="C58" s="42" t="s">
        <v>9</v>
      </c>
      <c r="D58" s="42" t="s">
        <v>8</v>
      </c>
      <c r="E58" s="42">
        <v>2</v>
      </c>
      <c r="F58" s="42" t="s">
        <v>12</v>
      </c>
      <c r="G58" s="41" t="s">
        <v>663</v>
      </c>
    </row>
    <row r="59" spans="1:7" x14ac:dyDescent="0.25">
      <c r="A59" s="42" t="s">
        <v>76</v>
      </c>
      <c r="B59" s="42">
        <v>12327992</v>
      </c>
      <c r="C59" s="42" t="s">
        <v>7</v>
      </c>
      <c r="D59" s="42" t="s">
        <v>8</v>
      </c>
      <c r="E59" s="42">
        <v>2</v>
      </c>
      <c r="F59" s="42" t="s">
        <v>12</v>
      </c>
      <c r="G59" s="41" t="s">
        <v>664</v>
      </c>
    </row>
    <row r="60" spans="1:7" x14ac:dyDescent="0.25">
      <c r="A60" s="42" t="s">
        <v>15</v>
      </c>
      <c r="B60" s="42">
        <v>12307238</v>
      </c>
      <c r="C60" s="42" t="s">
        <v>14</v>
      </c>
      <c r="D60" s="42" t="s">
        <v>8</v>
      </c>
      <c r="E60" s="42">
        <v>2</v>
      </c>
      <c r="F60" s="42" t="s">
        <v>12</v>
      </c>
      <c r="G60" s="41" t="s">
        <v>250</v>
      </c>
    </row>
    <row r="61" spans="1:7" x14ac:dyDescent="0.25">
      <c r="A61" s="42" t="s">
        <v>21</v>
      </c>
      <c r="B61" s="42">
        <v>12279084</v>
      </c>
      <c r="C61" s="42" t="s">
        <v>9</v>
      </c>
      <c r="D61" s="42" t="s">
        <v>8</v>
      </c>
      <c r="E61" s="42">
        <v>7</v>
      </c>
      <c r="F61" s="42" t="s">
        <v>20</v>
      </c>
      <c r="G61" s="41" t="s">
        <v>492</v>
      </c>
    </row>
    <row r="62" spans="1:7" x14ac:dyDescent="0.25">
      <c r="A62" s="42" t="s">
        <v>17</v>
      </c>
      <c r="B62" s="42">
        <v>12138759</v>
      </c>
      <c r="C62" s="42" t="s">
        <v>7</v>
      </c>
      <c r="D62" s="42" t="s">
        <v>8</v>
      </c>
      <c r="E62" s="42">
        <v>2</v>
      </c>
      <c r="F62" s="42" t="s">
        <v>12</v>
      </c>
      <c r="G62" s="41" t="s">
        <v>665</v>
      </c>
    </row>
    <row r="63" spans="1:7" x14ac:dyDescent="0.25">
      <c r="A63" s="42" t="s">
        <v>23</v>
      </c>
      <c r="B63" s="42">
        <v>12311913</v>
      </c>
      <c r="C63" s="42" t="s">
        <v>9</v>
      </c>
      <c r="D63" s="42" t="s">
        <v>8</v>
      </c>
      <c r="E63" s="42">
        <v>6</v>
      </c>
      <c r="F63" s="42" t="s">
        <v>19</v>
      </c>
      <c r="G63" s="41" t="s">
        <v>352</v>
      </c>
    </row>
    <row r="64" spans="1:7" x14ac:dyDescent="0.25">
      <c r="A64" s="42" t="s">
        <v>15</v>
      </c>
      <c r="B64" s="42">
        <v>12343234</v>
      </c>
      <c r="C64" s="42" t="s">
        <v>9</v>
      </c>
      <c r="D64" s="42" t="s">
        <v>8</v>
      </c>
      <c r="E64" s="42">
        <v>2</v>
      </c>
      <c r="F64" s="42" t="s">
        <v>12</v>
      </c>
      <c r="G64" s="41" t="s">
        <v>666</v>
      </c>
    </row>
    <row r="65" spans="1:7" x14ac:dyDescent="0.25">
      <c r="A65" s="42" t="s">
        <v>17</v>
      </c>
      <c r="B65" s="42">
        <v>12343353</v>
      </c>
      <c r="C65" s="42" t="s">
        <v>9</v>
      </c>
      <c r="D65" s="42" t="s">
        <v>8</v>
      </c>
      <c r="E65" s="42">
        <v>2</v>
      </c>
      <c r="F65" s="42" t="s">
        <v>12</v>
      </c>
      <c r="G65" s="41" t="s">
        <v>667</v>
      </c>
    </row>
    <row r="66" spans="1:7" x14ac:dyDescent="0.25">
      <c r="A66" s="42" t="s">
        <v>15</v>
      </c>
      <c r="B66" s="42">
        <v>12343843</v>
      </c>
      <c r="C66" s="42" t="s">
        <v>9</v>
      </c>
      <c r="D66" s="42" t="s">
        <v>8</v>
      </c>
      <c r="E66" s="42">
        <v>2</v>
      </c>
      <c r="F66" s="42" t="s">
        <v>12</v>
      </c>
      <c r="G66" s="41" t="s">
        <v>668</v>
      </c>
    </row>
    <row r="67" spans="1:7" x14ac:dyDescent="0.25">
      <c r="A67" s="42" t="s">
        <v>17</v>
      </c>
      <c r="B67" s="42">
        <v>12343846</v>
      </c>
      <c r="C67" s="42" t="s">
        <v>9</v>
      </c>
      <c r="D67" s="42" t="s">
        <v>8</v>
      </c>
      <c r="E67" s="42">
        <v>2</v>
      </c>
      <c r="F67" s="42" t="s">
        <v>12</v>
      </c>
      <c r="G67" s="41" t="s">
        <v>669</v>
      </c>
    </row>
    <row r="68" spans="1:7" x14ac:dyDescent="0.25">
      <c r="A68" s="42" t="s">
        <v>15</v>
      </c>
      <c r="B68" s="42">
        <v>12343853</v>
      </c>
      <c r="C68" s="42" t="s">
        <v>9</v>
      </c>
      <c r="D68" s="42" t="s">
        <v>8</v>
      </c>
      <c r="E68" s="42">
        <v>2</v>
      </c>
      <c r="F68" s="42" t="s">
        <v>12</v>
      </c>
      <c r="G68" s="41" t="s">
        <v>670</v>
      </c>
    </row>
    <row r="69" spans="1:7" x14ac:dyDescent="0.25">
      <c r="A69" s="42" t="s">
        <v>76</v>
      </c>
      <c r="B69" s="42">
        <v>12310514</v>
      </c>
      <c r="C69" s="42" t="s">
        <v>9</v>
      </c>
      <c r="D69" s="42" t="s">
        <v>8</v>
      </c>
      <c r="E69" s="42">
        <v>2</v>
      </c>
      <c r="F69" s="42" t="s">
        <v>12</v>
      </c>
      <c r="G69" s="41" t="s">
        <v>253</v>
      </c>
    </row>
    <row r="70" spans="1:7" x14ac:dyDescent="0.25">
      <c r="A70" s="42" t="s">
        <v>17</v>
      </c>
      <c r="B70" s="42">
        <v>12344162</v>
      </c>
      <c r="C70" s="42" t="s">
        <v>9</v>
      </c>
      <c r="D70" s="42" t="s">
        <v>8</v>
      </c>
      <c r="E70" s="42">
        <v>2</v>
      </c>
      <c r="F70" s="42" t="s">
        <v>12</v>
      </c>
      <c r="G70" s="41" t="s">
        <v>671</v>
      </c>
    </row>
    <row r="71" spans="1:7" x14ac:dyDescent="0.25">
      <c r="A71" s="42" t="s">
        <v>23</v>
      </c>
      <c r="B71" s="42">
        <v>12320142</v>
      </c>
      <c r="C71" s="42" t="s">
        <v>9</v>
      </c>
      <c r="D71" s="42" t="s">
        <v>8</v>
      </c>
      <c r="E71" s="42">
        <v>6</v>
      </c>
      <c r="F71" s="42" t="s">
        <v>19</v>
      </c>
      <c r="G71" s="41" t="s">
        <v>672</v>
      </c>
    </row>
    <row r="72" spans="1:7" x14ac:dyDescent="0.25">
      <c r="A72" s="42" t="s">
        <v>23</v>
      </c>
      <c r="B72" s="42">
        <v>12322011</v>
      </c>
      <c r="C72" s="42" t="s">
        <v>9</v>
      </c>
      <c r="D72" s="42" t="s">
        <v>8</v>
      </c>
      <c r="E72" s="42">
        <v>6</v>
      </c>
      <c r="F72" s="42" t="s">
        <v>19</v>
      </c>
      <c r="G72" s="41" t="s">
        <v>673</v>
      </c>
    </row>
    <row r="73" spans="1:7" x14ac:dyDescent="0.25">
      <c r="A73" s="42" t="s">
        <v>23</v>
      </c>
      <c r="B73" s="42">
        <v>12323972</v>
      </c>
      <c r="C73" s="42" t="s">
        <v>9</v>
      </c>
      <c r="D73" s="42" t="s">
        <v>8</v>
      </c>
      <c r="E73" s="42">
        <v>6</v>
      </c>
      <c r="F73" s="42" t="s">
        <v>19</v>
      </c>
      <c r="G73" s="41" t="s">
        <v>674</v>
      </c>
    </row>
    <row r="74" spans="1:7" x14ac:dyDescent="0.25">
      <c r="A74" s="42" t="s">
        <v>17</v>
      </c>
      <c r="B74" s="42">
        <v>12258476</v>
      </c>
      <c r="C74" s="42" t="s">
        <v>7</v>
      </c>
      <c r="D74" s="42" t="s">
        <v>8</v>
      </c>
      <c r="E74" s="42">
        <v>5</v>
      </c>
      <c r="F74" s="42" t="s">
        <v>10</v>
      </c>
      <c r="G74" s="41" t="s">
        <v>362</v>
      </c>
    </row>
    <row r="75" spans="1:7" x14ac:dyDescent="0.25">
      <c r="A75" s="42" t="s">
        <v>15</v>
      </c>
      <c r="B75" s="42">
        <v>12344631</v>
      </c>
      <c r="C75" s="42" t="s">
        <v>9</v>
      </c>
      <c r="D75" s="42" t="s">
        <v>8</v>
      </c>
      <c r="E75" s="42">
        <v>2</v>
      </c>
      <c r="F75" s="42" t="s">
        <v>12</v>
      </c>
      <c r="G75" s="41" t="s">
        <v>675</v>
      </c>
    </row>
    <row r="76" spans="1:7" x14ac:dyDescent="0.25">
      <c r="A76" s="42" t="s">
        <v>17</v>
      </c>
      <c r="B76" s="42">
        <v>12305012</v>
      </c>
      <c r="C76" s="42" t="s">
        <v>7</v>
      </c>
      <c r="D76" s="42" t="s">
        <v>8</v>
      </c>
      <c r="E76" s="42">
        <v>5</v>
      </c>
      <c r="F76" s="42" t="s">
        <v>10</v>
      </c>
      <c r="G76" s="41" t="s">
        <v>676</v>
      </c>
    </row>
    <row r="77" spans="1:7" x14ac:dyDescent="0.25">
      <c r="A77" s="42" t="s">
        <v>17</v>
      </c>
      <c r="B77" s="42">
        <v>12344787</v>
      </c>
      <c r="C77" s="42" t="s">
        <v>9</v>
      </c>
      <c r="D77" s="42" t="s">
        <v>8</v>
      </c>
      <c r="E77" s="42">
        <v>2</v>
      </c>
      <c r="F77" s="42" t="s">
        <v>12</v>
      </c>
      <c r="G77" s="41" t="s">
        <v>677</v>
      </c>
    </row>
    <row r="78" spans="1:7" x14ac:dyDescent="0.25">
      <c r="A78" s="42" t="s">
        <v>137</v>
      </c>
      <c r="B78" s="42">
        <v>12310514</v>
      </c>
      <c r="C78" s="42" t="s">
        <v>24</v>
      </c>
      <c r="D78" s="42" t="s">
        <v>8</v>
      </c>
      <c r="E78" s="42">
        <v>2</v>
      </c>
      <c r="F78" s="42" t="s">
        <v>12</v>
      </c>
      <c r="G78" s="41" t="s">
        <v>253</v>
      </c>
    </row>
    <row r="79" spans="1:7" x14ac:dyDescent="0.25">
      <c r="A79" s="42" t="s">
        <v>15</v>
      </c>
      <c r="B79" s="42">
        <v>12345120</v>
      </c>
      <c r="C79" s="42" t="s">
        <v>9</v>
      </c>
      <c r="D79" s="42" t="s">
        <v>8</v>
      </c>
      <c r="E79" s="42">
        <v>2</v>
      </c>
      <c r="F79" s="42" t="s">
        <v>12</v>
      </c>
      <c r="G79" s="41" t="s">
        <v>678</v>
      </c>
    </row>
    <row r="80" spans="1:7" x14ac:dyDescent="0.25">
      <c r="A80" s="42" t="s">
        <v>17</v>
      </c>
      <c r="B80" s="42">
        <v>12345375</v>
      </c>
      <c r="C80" s="42" t="s">
        <v>9</v>
      </c>
      <c r="D80" s="42" t="s">
        <v>8</v>
      </c>
      <c r="E80" s="42">
        <v>2</v>
      </c>
      <c r="F80" s="42" t="s">
        <v>12</v>
      </c>
      <c r="G80" s="41" t="s">
        <v>679</v>
      </c>
    </row>
    <row r="81" spans="1:7" x14ac:dyDescent="0.25">
      <c r="A81" s="42" t="s">
        <v>76</v>
      </c>
      <c r="B81" s="42">
        <v>12345498</v>
      </c>
      <c r="C81" s="42" t="s">
        <v>9</v>
      </c>
      <c r="D81" s="42" t="s">
        <v>8</v>
      </c>
      <c r="E81" s="42">
        <v>2</v>
      </c>
      <c r="F81" s="42" t="s">
        <v>12</v>
      </c>
      <c r="G81" s="41" t="s">
        <v>680</v>
      </c>
    </row>
    <row r="82" spans="1:7" x14ac:dyDescent="0.25">
      <c r="A82" s="42" t="s">
        <v>15</v>
      </c>
      <c r="B82" s="42">
        <v>12345524</v>
      </c>
      <c r="C82" s="42" t="s">
        <v>9</v>
      </c>
      <c r="D82" s="42" t="s">
        <v>8</v>
      </c>
      <c r="E82" s="42">
        <v>2</v>
      </c>
      <c r="F82" s="42" t="s">
        <v>12</v>
      </c>
      <c r="G82" s="41" t="s">
        <v>681</v>
      </c>
    </row>
    <row r="83" spans="1:7" x14ac:dyDescent="0.25">
      <c r="A83" s="42" t="s">
        <v>17</v>
      </c>
      <c r="B83" s="42">
        <v>12345535</v>
      </c>
      <c r="C83" s="42" t="s">
        <v>9</v>
      </c>
      <c r="D83" s="42" t="s">
        <v>8</v>
      </c>
      <c r="E83" s="42">
        <v>2</v>
      </c>
      <c r="F83" s="42" t="s">
        <v>12</v>
      </c>
      <c r="G83" s="41" t="s">
        <v>682</v>
      </c>
    </row>
    <row r="84" spans="1:7" x14ac:dyDescent="0.25">
      <c r="A84" s="42" t="s">
        <v>15</v>
      </c>
      <c r="B84" s="42">
        <v>12346085</v>
      </c>
      <c r="C84" s="42" t="s">
        <v>9</v>
      </c>
      <c r="D84" s="42" t="s">
        <v>8</v>
      </c>
      <c r="E84" s="42">
        <v>2</v>
      </c>
      <c r="F84" s="42" t="s">
        <v>12</v>
      </c>
      <c r="G84" s="41" t="s">
        <v>683</v>
      </c>
    </row>
    <row r="85" spans="1:7" x14ac:dyDescent="0.25">
      <c r="A85" s="42" t="s">
        <v>17</v>
      </c>
      <c r="B85" s="42">
        <v>12346195</v>
      </c>
      <c r="C85" s="42" t="s">
        <v>9</v>
      </c>
      <c r="D85" s="42" t="s">
        <v>8</v>
      </c>
      <c r="E85" s="42">
        <v>2</v>
      </c>
      <c r="F85" s="42" t="s">
        <v>12</v>
      </c>
      <c r="G85" s="41" t="s">
        <v>684</v>
      </c>
    </row>
    <row r="86" spans="1:7" x14ac:dyDescent="0.25">
      <c r="A86" s="42" t="s">
        <v>23</v>
      </c>
      <c r="B86" s="42">
        <v>12329621</v>
      </c>
      <c r="C86" s="42" t="s">
        <v>9</v>
      </c>
      <c r="D86" s="42" t="s">
        <v>8</v>
      </c>
      <c r="E86" s="42">
        <v>6</v>
      </c>
      <c r="F86" s="42" t="s">
        <v>19</v>
      </c>
      <c r="G86" s="41" t="s">
        <v>685</v>
      </c>
    </row>
    <row r="87" spans="1:7" x14ac:dyDescent="0.25">
      <c r="A87" s="42" t="s">
        <v>23</v>
      </c>
      <c r="B87" s="42">
        <v>12330377</v>
      </c>
      <c r="C87" s="42" t="s">
        <v>9</v>
      </c>
      <c r="D87" s="42" t="s">
        <v>8</v>
      </c>
      <c r="E87" s="42">
        <v>6</v>
      </c>
      <c r="F87" s="42" t="s">
        <v>19</v>
      </c>
      <c r="G87" s="41" t="s">
        <v>686</v>
      </c>
    </row>
    <row r="88" spans="1:7" x14ac:dyDescent="0.25">
      <c r="A88" s="42" t="s">
        <v>23</v>
      </c>
      <c r="B88" s="42">
        <v>12327544</v>
      </c>
      <c r="C88" s="42" t="s">
        <v>9</v>
      </c>
      <c r="D88" s="42" t="s">
        <v>8</v>
      </c>
      <c r="E88" s="42">
        <v>6</v>
      </c>
      <c r="F88" s="42" t="s">
        <v>19</v>
      </c>
      <c r="G88" s="41" t="s">
        <v>687</v>
      </c>
    </row>
    <row r="89" spans="1:7" x14ac:dyDescent="0.25">
      <c r="A89" s="42" t="s">
        <v>23</v>
      </c>
      <c r="B89" s="42">
        <v>12313829</v>
      </c>
      <c r="C89" s="42" t="s">
        <v>9</v>
      </c>
      <c r="D89" s="42" t="s">
        <v>8</v>
      </c>
      <c r="E89" s="42">
        <v>6</v>
      </c>
      <c r="F89" s="42" t="s">
        <v>19</v>
      </c>
      <c r="G89" s="41" t="s">
        <v>688</v>
      </c>
    </row>
    <row r="90" spans="1:7" x14ac:dyDescent="0.25">
      <c r="A90" s="42" t="s">
        <v>15</v>
      </c>
      <c r="B90" s="42">
        <v>12346919</v>
      </c>
      <c r="C90" s="42" t="s">
        <v>9</v>
      </c>
      <c r="D90" s="42" t="s">
        <v>8</v>
      </c>
      <c r="E90" s="42">
        <v>2</v>
      </c>
      <c r="F90" s="42" t="s">
        <v>12</v>
      </c>
      <c r="G90" s="41" t="s">
        <v>689</v>
      </c>
    </row>
    <row r="91" spans="1:7" x14ac:dyDescent="0.25">
      <c r="A91" s="42" t="s">
        <v>17</v>
      </c>
      <c r="B91" s="42">
        <v>12346940</v>
      </c>
      <c r="C91" s="42" t="s">
        <v>9</v>
      </c>
      <c r="D91" s="42" t="s">
        <v>8</v>
      </c>
      <c r="E91" s="42">
        <v>2</v>
      </c>
      <c r="F91" s="42" t="s">
        <v>12</v>
      </c>
      <c r="G91" s="41" t="s">
        <v>690</v>
      </c>
    </row>
    <row r="92" spans="1:7" x14ac:dyDescent="0.25">
      <c r="A92" s="42" t="s">
        <v>23</v>
      </c>
      <c r="B92" s="42">
        <v>12330254</v>
      </c>
      <c r="C92" s="42" t="s">
        <v>9</v>
      </c>
      <c r="D92" s="42" t="s">
        <v>8</v>
      </c>
      <c r="E92" s="42">
        <v>6</v>
      </c>
      <c r="F92" s="42" t="s">
        <v>19</v>
      </c>
      <c r="G92" s="41" t="s">
        <v>691</v>
      </c>
    </row>
    <row r="93" spans="1:7" x14ac:dyDescent="0.25">
      <c r="A93" s="42" t="s">
        <v>23</v>
      </c>
      <c r="B93" s="42">
        <v>12331737</v>
      </c>
      <c r="C93" s="42" t="s">
        <v>9</v>
      </c>
      <c r="D93" s="42" t="s">
        <v>8</v>
      </c>
      <c r="E93" s="42">
        <v>6</v>
      </c>
      <c r="F93" s="42" t="s">
        <v>19</v>
      </c>
      <c r="G93" s="41" t="s">
        <v>692</v>
      </c>
    </row>
    <row r="94" spans="1:7" x14ac:dyDescent="0.25">
      <c r="A94" s="42" t="s">
        <v>23</v>
      </c>
      <c r="B94" s="42">
        <v>12342482</v>
      </c>
      <c r="C94" s="42" t="s">
        <v>9</v>
      </c>
      <c r="D94" s="42" t="s">
        <v>8</v>
      </c>
      <c r="E94" s="42">
        <v>6</v>
      </c>
      <c r="F94" s="42" t="s">
        <v>19</v>
      </c>
      <c r="G94" s="41" t="s">
        <v>693</v>
      </c>
    </row>
    <row r="95" spans="1:7" x14ac:dyDescent="0.25">
      <c r="A95" s="42" t="s">
        <v>23</v>
      </c>
      <c r="B95" s="42">
        <v>12330565</v>
      </c>
      <c r="C95" s="42" t="s">
        <v>9</v>
      </c>
      <c r="D95" s="42" t="s">
        <v>8</v>
      </c>
      <c r="E95" s="42">
        <v>6</v>
      </c>
      <c r="F95" s="42" t="s">
        <v>19</v>
      </c>
      <c r="G95" s="41" t="s">
        <v>694</v>
      </c>
    </row>
    <row r="96" spans="1:7" x14ac:dyDescent="0.25">
      <c r="A96" s="42" t="s">
        <v>23</v>
      </c>
      <c r="B96" s="42">
        <v>12332664</v>
      </c>
      <c r="C96" s="42" t="s">
        <v>9</v>
      </c>
      <c r="D96" s="42" t="s">
        <v>8</v>
      </c>
      <c r="E96" s="42">
        <v>6</v>
      </c>
      <c r="F96" s="42" t="s">
        <v>19</v>
      </c>
      <c r="G96" s="41" t="s">
        <v>695</v>
      </c>
    </row>
    <row r="97" spans="1:7" x14ac:dyDescent="0.25">
      <c r="A97" s="42" t="s">
        <v>23</v>
      </c>
      <c r="B97" s="42">
        <v>12346508</v>
      </c>
      <c r="C97" s="42" t="s">
        <v>9</v>
      </c>
      <c r="D97" s="42" t="s">
        <v>8</v>
      </c>
      <c r="E97" s="42">
        <v>6</v>
      </c>
      <c r="F97" s="42" t="s">
        <v>19</v>
      </c>
      <c r="G97" s="41" t="s">
        <v>696</v>
      </c>
    </row>
    <row r="98" spans="1:7" x14ac:dyDescent="0.25">
      <c r="A98" s="42" t="s">
        <v>23</v>
      </c>
      <c r="B98" s="42">
        <v>12313143</v>
      </c>
      <c r="C98" s="42" t="s">
        <v>9</v>
      </c>
      <c r="D98" s="42" t="s">
        <v>8</v>
      </c>
      <c r="E98" s="42">
        <v>6</v>
      </c>
      <c r="F98" s="42" t="s">
        <v>19</v>
      </c>
      <c r="G98" s="41" t="s">
        <v>697</v>
      </c>
    </row>
    <row r="99" spans="1:7" x14ac:dyDescent="0.25">
      <c r="A99" s="42" t="s">
        <v>76</v>
      </c>
      <c r="B99" s="42">
        <v>12176840</v>
      </c>
      <c r="C99" s="42" t="s">
        <v>7</v>
      </c>
      <c r="D99" s="42" t="s">
        <v>8</v>
      </c>
      <c r="E99" s="42">
        <v>2</v>
      </c>
      <c r="F99" s="42" t="s">
        <v>12</v>
      </c>
      <c r="G99" s="41" t="s">
        <v>349</v>
      </c>
    </row>
    <row r="100" spans="1:7" x14ac:dyDescent="0.25">
      <c r="A100" s="42" t="s">
        <v>23</v>
      </c>
      <c r="B100" s="42">
        <v>12331603</v>
      </c>
      <c r="C100" s="42" t="s">
        <v>9</v>
      </c>
      <c r="D100" s="42" t="s">
        <v>8</v>
      </c>
      <c r="E100" s="42">
        <v>6</v>
      </c>
      <c r="F100" s="42" t="s">
        <v>19</v>
      </c>
      <c r="G100" s="41" t="s">
        <v>698</v>
      </c>
    </row>
    <row r="101" spans="1:7" x14ac:dyDescent="0.25">
      <c r="A101" s="42" t="s">
        <v>23</v>
      </c>
      <c r="B101" s="42">
        <v>12343653</v>
      </c>
      <c r="C101" s="42" t="s">
        <v>9</v>
      </c>
      <c r="D101" s="42" t="s">
        <v>8</v>
      </c>
      <c r="E101" s="42">
        <v>6</v>
      </c>
      <c r="F101" s="42" t="s">
        <v>19</v>
      </c>
      <c r="G101" s="41" t="s">
        <v>699</v>
      </c>
    </row>
    <row r="102" spans="1:7" x14ac:dyDescent="0.25">
      <c r="A102" s="42" t="s">
        <v>23</v>
      </c>
      <c r="B102" s="42">
        <v>12332369</v>
      </c>
      <c r="C102" s="42" t="s">
        <v>9</v>
      </c>
      <c r="D102" s="42" t="s">
        <v>8</v>
      </c>
      <c r="E102" s="42">
        <v>6</v>
      </c>
      <c r="F102" s="42" t="s">
        <v>19</v>
      </c>
      <c r="G102" s="41" t="s">
        <v>700</v>
      </c>
    </row>
    <row r="103" spans="1:7" x14ac:dyDescent="0.25">
      <c r="A103" s="42" t="s">
        <v>23</v>
      </c>
      <c r="B103" s="42">
        <v>12341840</v>
      </c>
      <c r="C103" s="42" t="s">
        <v>9</v>
      </c>
      <c r="D103" s="42" t="s">
        <v>8</v>
      </c>
      <c r="E103" s="42">
        <v>6</v>
      </c>
      <c r="F103" s="42" t="s">
        <v>19</v>
      </c>
      <c r="G103" s="41" t="s">
        <v>701</v>
      </c>
    </row>
    <row r="104" spans="1:7" x14ac:dyDescent="0.25">
      <c r="A104" s="42" t="s">
        <v>15</v>
      </c>
      <c r="B104" s="42">
        <v>12347901</v>
      </c>
      <c r="C104" s="42" t="s">
        <v>9</v>
      </c>
      <c r="D104" s="42" t="s">
        <v>8</v>
      </c>
      <c r="E104" s="42">
        <v>2</v>
      </c>
      <c r="F104" s="42" t="s">
        <v>12</v>
      </c>
      <c r="G104" s="41" t="s">
        <v>702</v>
      </c>
    </row>
    <row r="105" spans="1:7" x14ac:dyDescent="0.25">
      <c r="A105" s="42" t="s">
        <v>23</v>
      </c>
      <c r="B105" s="42">
        <v>12343848</v>
      </c>
      <c r="C105" s="42" t="s">
        <v>9</v>
      </c>
      <c r="D105" s="42" t="s">
        <v>8</v>
      </c>
      <c r="E105" s="42">
        <v>6</v>
      </c>
      <c r="F105" s="42" t="s">
        <v>19</v>
      </c>
      <c r="G105" s="41" t="s">
        <v>703</v>
      </c>
    </row>
    <row r="106" spans="1:7" x14ac:dyDescent="0.25">
      <c r="A106" s="42" t="s">
        <v>119</v>
      </c>
      <c r="B106" s="42">
        <v>12176840</v>
      </c>
      <c r="C106" s="42" t="s">
        <v>24</v>
      </c>
      <c r="D106" s="42" t="s">
        <v>8</v>
      </c>
      <c r="E106" s="42">
        <v>2</v>
      </c>
      <c r="F106" s="42" t="s">
        <v>12</v>
      </c>
      <c r="G106" s="41" t="s">
        <v>349</v>
      </c>
    </row>
    <row r="107" spans="1:7" x14ac:dyDescent="0.25">
      <c r="A107" s="42" t="s">
        <v>17</v>
      </c>
      <c r="B107" s="42">
        <v>12348086</v>
      </c>
      <c r="C107" s="42" t="s">
        <v>9</v>
      </c>
      <c r="D107" s="42" t="s">
        <v>8</v>
      </c>
      <c r="E107" s="42">
        <v>2</v>
      </c>
      <c r="F107" s="42" t="s">
        <v>12</v>
      </c>
      <c r="G107" s="41" t="s">
        <v>704</v>
      </c>
    </row>
    <row r="108" spans="1:7" x14ac:dyDescent="0.25">
      <c r="A108" s="42" t="s">
        <v>23</v>
      </c>
      <c r="B108" s="42">
        <v>12344235</v>
      </c>
      <c r="C108" s="42" t="s">
        <v>9</v>
      </c>
      <c r="D108" s="42" t="s">
        <v>8</v>
      </c>
      <c r="E108" s="42">
        <v>6</v>
      </c>
      <c r="F108" s="42" t="s">
        <v>19</v>
      </c>
      <c r="G108" s="41" t="s">
        <v>705</v>
      </c>
    </row>
    <row r="109" spans="1:7" x14ac:dyDescent="0.25">
      <c r="A109" s="42" t="s">
        <v>76</v>
      </c>
      <c r="B109" s="42">
        <v>12348215</v>
      </c>
      <c r="C109" s="42" t="s">
        <v>9</v>
      </c>
      <c r="D109" s="42" t="s">
        <v>8</v>
      </c>
      <c r="E109" s="42">
        <v>2</v>
      </c>
      <c r="F109" s="42" t="s">
        <v>12</v>
      </c>
      <c r="G109" s="41" t="s">
        <v>706</v>
      </c>
    </row>
    <row r="110" spans="1:7" x14ac:dyDescent="0.25">
      <c r="A110" s="42" t="s">
        <v>15</v>
      </c>
      <c r="B110" s="42">
        <v>12348248</v>
      </c>
      <c r="C110" s="42" t="s">
        <v>9</v>
      </c>
      <c r="D110" s="42" t="s">
        <v>8</v>
      </c>
      <c r="E110" s="42">
        <v>2</v>
      </c>
      <c r="F110" s="42" t="s">
        <v>12</v>
      </c>
      <c r="G110" s="41" t="s">
        <v>707</v>
      </c>
    </row>
    <row r="111" spans="1:7" x14ac:dyDescent="0.25">
      <c r="A111" s="42" t="s">
        <v>17</v>
      </c>
      <c r="B111" s="42">
        <v>12348305</v>
      </c>
      <c r="C111" s="42" t="s">
        <v>9</v>
      </c>
      <c r="D111" s="42" t="s">
        <v>8</v>
      </c>
      <c r="E111" s="42">
        <v>2</v>
      </c>
      <c r="F111" s="42" t="s">
        <v>12</v>
      </c>
      <c r="G111" s="41" t="s">
        <v>708</v>
      </c>
    </row>
    <row r="112" spans="1:7" x14ac:dyDescent="0.25">
      <c r="A112" s="42" t="s">
        <v>76</v>
      </c>
      <c r="B112" s="42">
        <v>12348877</v>
      </c>
      <c r="C112" s="42" t="s">
        <v>9</v>
      </c>
      <c r="D112" s="42" t="s">
        <v>8</v>
      </c>
      <c r="E112" s="42">
        <v>2</v>
      </c>
      <c r="F112" s="42" t="s">
        <v>12</v>
      </c>
      <c r="G112" s="41" t="s">
        <v>709</v>
      </c>
    </row>
    <row r="113" spans="1:7" x14ac:dyDescent="0.25">
      <c r="A113" s="42" t="s">
        <v>15</v>
      </c>
      <c r="B113" s="42">
        <v>12349005</v>
      </c>
      <c r="C113" s="42" t="s">
        <v>9</v>
      </c>
      <c r="D113" s="42" t="s">
        <v>8</v>
      </c>
      <c r="E113" s="42">
        <v>2</v>
      </c>
      <c r="F113" s="42" t="s">
        <v>12</v>
      </c>
      <c r="G113" s="41" t="s">
        <v>710</v>
      </c>
    </row>
    <row r="114" spans="1:7" x14ac:dyDescent="0.25">
      <c r="A114" s="42" t="s">
        <v>17</v>
      </c>
      <c r="B114" s="42">
        <v>12349065</v>
      </c>
      <c r="C114" s="42" t="s">
        <v>9</v>
      </c>
      <c r="D114" s="42" t="s">
        <v>8</v>
      </c>
      <c r="E114" s="42">
        <v>2</v>
      </c>
      <c r="F114" s="42" t="s">
        <v>12</v>
      </c>
      <c r="G114" s="41" t="s">
        <v>711</v>
      </c>
    </row>
    <row r="115" spans="1:7" x14ac:dyDescent="0.25">
      <c r="A115" s="42" t="s">
        <v>76</v>
      </c>
      <c r="B115" s="42">
        <v>12349267</v>
      </c>
      <c r="C115" s="42" t="s">
        <v>9</v>
      </c>
      <c r="D115" s="42" t="s">
        <v>8</v>
      </c>
      <c r="E115" s="42">
        <v>2</v>
      </c>
      <c r="F115" s="42" t="s">
        <v>12</v>
      </c>
      <c r="G115" s="41" t="s">
        <v>712</v>
      </c>
    </row>
    <row r="116" spans="1:7" x14ac:dyDescent="0.25">
      <c r="A116" s="42" t="s">
        <v>15</v>
      </c>
      <c r="B116" s="42">
        <v>12349288</v>
      </c>
      <c r="C116" s="42" t="s">
        <v>9</v>
      </c>
      <c r="D116" s="42" t="s">
        <v>8</v>
      </c>
      <c r="E116" s="42">
        <v>2</v>
      </c>
      <c r="F116" s="42" t="s">
        <v>12</v>
      </c>
      <c r="G116" s="41" t="s">
        <v>713</v>
      </c>
    </row>
    <row r="117" spans="1:7" x14ac:dyDescent="0.25">
      <c r="A117" s="42" t="s">
        <v>17</v>
      </c>
      <c r="B117" s="42">
        <v>12349296</v>
      </c>
      <c r="C117" s="42" t="s">
        <v>9</v>
      </c>
      <c r="D117" s="42" t="s">
        <v>8</v>
      </c>
      <c r="E117" s="42">
        <v>2</v>
      </c>
      <c r="F117" s="42" t="s">
        <v>12</v>
      </c>
      <c r="G117" s="41" t="s">
        <v>714</v>
      </c>
    </row>
    <row r="118" spans="1:7" x14ac:dyDescent="0.25">
      <c r="A118" s="42" t="s">
        <v>76</v>
      </c>
      <c r="B118" s="42">
        <v>12349323</v>
      </c>
      <c r="C118" s="42" t="s">
        <v>9</v>
      </c>
      <c r="D118" s="42" t="s">
        <v>8</v>
      </c>
      <c r="E118" s="42">
        <v>2</v>
      </c>
      <c r="F118" s="42" t="s">
        <v>12</v>
      </c>
      <c r="G118" s="41" t="s">
        <v>715</v>
      </c>
    </row>
    <row r="119" spans="1:7" x14ac:dyDescent="0.25">
      <c r="A119" s="42" t="s">
        <v>15</v>
      </c>
      <c r="B119" s="42">
        <v>12350494</v>
      </c>
      <c r="C119" s="42" t="s">
        <v>9</v>
      </c>
      <c r="D119" s="42" t="s">
        <v>8</v>
      </c>
      <c r="E119" s="42">
        <v>2</v>
      </c>
      <c r="F119" s="42" t="s">
        <v>12</v>
      </c>
      <c r="G119" s="41" t="s">
        <v>716</v>
      </c>
    </row>
    <row r="120" spans="1:7" x14ac:dyDescent="0.25">
      <c r="A120" s="42" t="s">
        <v>17</v>
      </c>
      <c r="B120" s="42">
        <v>12350729</v>
      </c>
      <c r="C120" s="42" t="s">
        <v>9</v>
      </c>
      <c r="D120" s="42" t="s">
        <v>8</v>
      </c>
      <c r="E120" s="42">
        <v>2</v>
      </c>
      <c r="F120" s="42" t="s">
        <v>12</v>
      </c>
      <c r="G120" s="41" t="s">
        <v>717</v>
      </c>
    </row>
    <row r="121" spans="1:7" x14ac:dyDescent="0.25">
      <c r="A121" s="42" t="s">
        <v>76</v>
      </c>
      <c r="B121" s="42">
        <v>12351408</v>
      </c>
      <c r="C121" s="42" t="s">
        <v>9</v>
      </c>
      <c r="D121" s="42" t="s">
        <v>8</v>
      </c>
      <c r="E121" s="42">
        <v>2</v>
      </c>
      <c r="F121" s="42" t="s">
        <v>12</v>
      </c>
      <c r="G121" s="41" t="s">
        <v>718</v>
      </c>
    </row>
    <row r="122" spans="1:7" x14ac:dyDescent="0.25">
      <c r="A122" s="42" t="s">
        <v>15</v>
      </c>
      <c r="B122" s="42">
        <v>12352605</v>
      </c>
      <c r="C122" s="42" t="s">
        <v>9</v>
      </c>
      <c r="D122" s="42" t="s">
        <v>8</v>
      </c>
      <c r="E122" s="42">
        <v>2</v>
      </c>
      <c r="F122" s="42" t="s">
        <v>12</v>
      </c>
      <c r="G122" s="41" t="s">
        <v>719</v>
      </c>
    </row>
    <row r="123" spans="1:7" x14ac:dyDescent="0.25">
      <c r="A123" s="42" t="s">
        <v>17</v>
      </c>
      <c r="B123" s="42">
        <v>12352722</v>
      </c>
      <c r="C123" s="42" t="s">
        <v>9</v>
      </c>
      <c r="D123" s="42" t="s">
        <v>8</v>
      </c>
      <c r="E123" s="42">
        <v>2</v>
      </c>
      <c r="F123" s="42" t="s">
        <v>12</v>
      </c>
      <c r="G123" s="41" t="s">
        <v>720</v>
      </c>
    </row>
    <row r="124" spans="1:7" x14ac:dyDescent="0.25">
      <c r="A124" s="42" t="s">
        <v>76</v>
      </c>
      <c r="B124" s="42">
        <v>12352828</v>
      </c>
      <c r="C124" s="42" t="s">
        <v>9</v>
      </c>
      <c r="D124" s="42" t="s">
        <v>8</v>
      </c>
      <c r="E124" s="42">
        <v>2</v>
      </c>
      <c r="F124" s="42" t="s">
        <v>12</v>
      </c>
      <c r="G124" s="41" t="s">
        <v>721</v>
      </c>
    </row>
    <row r="125" spans="1:7" x14ac:dyDescent="0.25">
      <c r="A125" s="42" t="s">
        <v>15</v>
      </c>
      <c r="B125" s="42">
        <v>12352850</v>
      </c>
      <c r="C125" s="42" t="s">
        <v>9</v>
      </c>
      <c r="D125" s="42" t="s">
        <v>8</v>
      </c>
      <c r="E125" s="42">
        <v>2</v>
      </c>
      <c r="F125" s="42" t="s">
        <v>12</v>
      </c>
      <c r="G125" s="41" t="s">
        <v>722</v>
      </c>
    </row>
    <row r="126" spans="1:7" x14ac:dyDescent="0.25">
      <c r="A126" s="42" t="s">
        <v>17</v>
      </c>
      <c r="B126" s="42">
        <v>12352901</v>
      </c>
      <c r="C126" s="42" t="s">
        <v>9</v>
      </c>
      <c r="D126" s="42" t="s">
        <v>8</v>
      </c>
      <c r="E126" s="42">
        <v>2</v>
      </c>
      <c r="F126" s="42" t="s">
        <v>12</v>
      </c>
      <c r="G126" s="41" t="s">
        <v>723</v>
      </c>
    </row>
    <row r="127" spans="1:7" x14ac:dyDescent="0.25">
      <c r="A127" s="42" t="s">
        <v>76</v>
      </c>
      <c r="B127" s="42">
        <v>12353285</v>
      </c>
      <c r="C127" s="42" t="s">
        <v>9</v>
      </c>
      <c r="D127" s="42" t="s">
        <v>8</v>
      </c>
      <c r="E127" s="42">
        <v>2</v>
      </c>
      <c r="F127" s="42" t="s">
        <v>12</v>
      </c>
      <c r="G127" s="41" t="s">
        <v>724</v>
      </c>
    </row>
    <row r="128" spans="1:7" x14ac:dyDescent="0.25">
      <c r="A128" s="42" t="s">
        <v>15</v>
      </c>
      <c r="B128" s="42">
        <v>12353337</v>
      </c>
      <c r="C128" s="42" t="s">
        <v>9</v>
      </c>
      <c r="D128" s="42" t="s">
        <v>8</v>
      </c>
      <c r="E128" s="42">
        <v>2</v>
      </c>
      <c r="F128" s="42" t="s">
        <v>12</v>
      </c>
      <c r="G128" s="41" t="s">
        <v>725</v>
      </c>
    </row>
    <row r="129" spans="1:7" x14ac:dyDescent="0.25">
      <c r="A129" s="42" t="s">
        <v>17</v>
      </c>
      <c r="B129" s="42">
        <v>12353338</v>
      </c>
      <c r="C129" s="42" t="s">
        <v>9</v>
      </c>
      <c r="D129" s="42" t="s">
        <v>8</v>
      </c>
      <c r="E129" s="42">
        <v>2</v>
      </c>
      <c r="F129" s="42" t="s">
        <v>12</v>
      </c>
      <c r="G129" s="41" t="s">
        <v>726</v>
      </c>
    </row>
    <row r="130" spans="1:7" x14ac:dyDescent="0.25">
      <c r="A130" s="42" t="s">
        <v>76</v>
      </c>
      <c r="B130" s="42">
        <v>12353342</v>
      </c>
      <c r="C130" s="42" t="s">
        <v>9</v>
      </c>
      <c r="D130" s="42" t="s">
        <v>8</v>
      </c>
      <c r="E130" s="42">
        <v>2</v>
      </c>
      <c r="F130" s="42" t="s">
        <v>12</v>
      </c>
      <c r="G130" s="41" t="s">
        <v>727</v>
      </c>
    </row>
    <row r="131" spans="1:7" x14ac:dyDescent="0.25">
      <c r="A131" s="42" t="s">
        <v>15</v>
      </c>
      <c r="B131" s="42">
        <v>12353347</v>
      </c>
      <c r="C131" s="42" t="s">
        <v>9</v>
      </c>
      <c r="D131" s="42" t="s">
        <v>8</v>
      </c>
      <c r="E131" s="42">
        <v>2</v>
      </c>
      <c r="F131" s="42" t="s">
        <v>12</v>
      </c>
      <c r="G131" s="41" t="s">
        <v>728</v>
      </c>
    </row>
    <row r="132" spans="1:7" x14ac:dyDescent="0.25">
      <c r="A132" s="42" t="s">
        <v>17</v>
      </c>
      <c r="B132" s="42">
        <v>12353352</v>
      </c>
      <c r="C132" s="42" t="s">
        <v>9</v>
      </c>
      <c r="D132" s="42" t="s">
        <v>8</v>
      </c>
      <c r="E132" s="42">
        <v>2</v>
      </c>
      <c r="F132" s="42" t="s">
        <v>12</v>
      </c>
      <c r="G132" s="41" t="s">
        <v>729</v>
      </c>
    </row>
    <row r="133" spans="1:7" x14ac:dyDescent="0.25">
      <c r="A133" s="42" t="s">
        <v>76</v>
      </c>
      <c r="B133" s="42">
        <v>12353638</v>
      </c>
      <c r="C133" s="42" t="s">
        <v>9</v>
      </c>
      <c r="D133" s="42" t="s">
        <v>8</v>
      </c>
      <c r="E133" s="42">
        <v>2</v>
      </c>
      <c r="F133" s="42" t="s">
        <v>12</v>
      </c>
      <c r="G133" s="41" t="s">
        <v>730</v>
      </c>
    </row>
    <row r="134" spans="1:7" x14ac:dyDescent="0.25">
      <c r="A134" s="42" t="s">
        <v>15</v>
      </c>
      <c r="B134" s="42">
        <v>12353801</v>
      </c>
      <c r="C134" s="42" t="s">
        <v>9</v>
      </c>
      <c r="D134" s="42" t="s">
        <v>8</v>
      </c>
      <c r="E134" s="42">
        <v>2</v>
      </c>
      <c r="F134" s="42" t="s">
        <v>12</v>
      </c>
      <c r="G134" s="41" t="s">
        <v>731</v>
      </c>
    </row>
    <row r="135" spans="1:7" x14ac:dyDescent="0.25">
      <c r="A135" s="42" t="s">
        <v>17</v>
      </c>
      <c r="B135" s="42">
        <v>12353926</v>
      </c>
      <c r="C135" s="42" t="s">
        <v>9</v>
      </c>
      <c r="D135" s="42" t="s">
        <v>8</v>
      </c>
      <c r="E135" s="42">
        <v>2</v>
      </c>
      <c r="F135" s="42" t="s">
        <v>12</v>
      </c>
      <c r="G135" s="41" t="s">
        <v>732</v>
      </c>
    </row>
    <row r="136" spans="1:7" x14ac:dyDescent="0.25">
      <c r="A136" s="42" t="s">
        <v>21</v>
      </c>
      <c r="B136" s="42">
        <v>12330112</v>
      </c>
      <c r="C136" s="42" t="s">
        <v>14</v>
      </c>
      <c r="D136" s="42" t="s">
        <v>8</v>
      </c>
      <c r="E136" s="42">
        <v>7</v>
      </c>
      <c r="F136" s="42" t="s">
        <v>20</v>
      </c>
      <c r="G136" s="41" t="s">
        <v>500</v>
      </c>
    </row>
    <row r="137" spans="1:7" x14ac:dyDescent="0.25">
      <c r="A137" s="42" t="s">
        <v>21</v>
      </c>
      <c r="B137" s="42">
        <v>12291949</v>
      </c>
      <c r="C137" s="42" t="s">
        <v>14</v>
      </c>
      <c r="D137" s="42" t="s">
        <v>8</v>
      </c>
      <c r="E137" s="42">
        <v>7</v>
      </c>
      <c r="F137" s="42" t="s">
        <v>20</v>
      </c>
      <c r="G137" s="41" t="s">
        <v>506</v>
      </c>
    </row>
    <row r="138" spans="1:7" x14ac:dyDescent="0.25">
      <c r="A138" s="42" t="s">
        <v>21</v>
      </c>
      <c r="B138" s="42">
        <v>12301843</v>
      </c>
      <c r="C138" s="42" t="s">
        <v>14</v>
      </c>
      <c r="D138" s="42" t="s">
        <v>8</v>
      </c>
      <c r="E138" s="42">
        <v>7</v>
      </c>
      <c r="F138" s="42" t="s">
        <v>20</v>
      </c>
      <c r="G138" s="41" t="s">
        <v>511</v>
      </c>
    </row>
    <row r="139" spans="1:7" x14ac:dyDescent="0.25">
      <c r="A139" s="42" t="s">
        <v>21</v>
      </c>
      <c r="B139" s="42">
        <v>12303513</v>
      </c>
      <c r="C139" s="42" t="s">
        <v>14</v>
      </c>
      <c r="D139" s="42" t="s">
        <v>8</v>
      </c>
      <c r="E139" s="42">
        <v>7</v>
      </c>
      <c r="F139" s="42" t="s">
        <v>20</v>
      </c>
      <c r="G139" s="41" t="s">
        <v>513</v>
      </c>
    </row>
    <row r="140" spans="1:7" x14ac:dyDescent="0.25">
      <c r="A140" s="42" t="s">
        <v>21</v>
      </c>
      <c r="B140" s="42">
        <v>12303883</v>
      </c>
      <c r="C140" s="42" t="s">
        <v>14</v>
      </c>
      <c r="D140" s="42" t="s">
        <v>8</v>
      </c>
      <c r="E140" s="42">
        <v>7</v>
      </c>
      <c r="F140" s="42" t="s">
        <v>20</v>
      </c>
      <c r="G140" s="41" t="s">
        <v>515</v>
      </c>
    </row>
    <row r="141" spans="1:7" x14ac:dyDescent="0.25">
      <c r="A141" s="42" t="s">
        <v>21</v>
      </c>
      <c r="B141" s="42">
        <v>12301019</v>
      </c>
      <c r="C141" s="42" t="s">
        <v>14</v>
      </c>
      <c r="D141" s="42" t="s">
        <v>8</v>
      </c>
      <c r="E141" s="42">
        <v>7</v>
      </c>
      <c r="F141" s="42" t="s">
        <v>20</v>
      </c>
      <c r="G141" s="41" t="s">
        <v>518</v>
      </c>
    </row>
    <row r="142" spans="1:7" x14ac:dyDescent="0.25">
      <c r="A142" s="42" t="s">
        <v>21</v>
      </c>
      <c r="B142" s="42">
        <v>12307359</v>
      </c>
      <c r="C142" s="42" t="s">
        <v>14</v>
      </c>
      <c r="D142" s="42" t="s">
        <v>8</v>
      </c>
      <c r="E142" s="42">
        <v>7</v>
      </c>
      <c r="F142" s="42" t="s">
        <v>20</v>
      </c>
      <c r="G142" s="41" t="s">
        <v>521</v>
      </c>
    </row>
    <row r="143" spans="1:7" x14ac:dyDescent="0.25">
      <c r="A143" s="42" t="s">
        <v>21</v>
      </c>
      <c r="B143" s="42">
        <v>12331087</v>
      </c>
      <c r="C143" s="42" t="s">
        <v>14</v>
      </c>
      <c r="D143" s="42" t="s">
        <v>8</v>
      </c>
      <c r="E143" s="42">
        <v>7</v>
      </c>
      <c r="F143" s="42" t="s">
        <v>20</v>
      </c>
      <c r="G143" s="41" t="s">
        <v>525</v>
      </c>
    </row>
    <row r="144" spans="1:7" x14ac:dyDescent="0.25">
      <c r="A144" s="42" t="s">
        <v>21</v>
      </c>
      <c r="B144" s="42">
        <v>12220948</v>
      </c>
      <c r="C144" s="42" t="s">
        <v>14</v>
      </c>
      <c r="D144" s="42" t="s">
        <v>8</v>
      </c>
      <c r="E144" s="42">
        <v>7</v>
      </c>
      <c r="F144" s="42" t="s">
        <v>20</v>
      </c>
      <c r="G144" s="41" t="s">
        <v>529</v>
      </c>
    </row>
    <row r="145" spans="1:7" x14ac:dyDescent="0.25">
      <c r="A145" s="42" t="s">
        <v>21</v>
      </c>
      <c r="B145" s="42">
        <v>12307627</v>
      </c>
      <c r="C145" s="42" t="s">
        <v>14</v>
      </c>
      <c r="D145" s="42" t="s">
        <v>8</v>
      </c>
      <c r="E145" s="42">
        <v>7</v>
      </c>
      <c r="F145" s="42" t="s">
        <v>20</v>
      </c>
      <c r="G145" s="41" t="s">
        <v>531</v>
      </c>
    </row>
    <row r="146" spans="1:7" x14ac:dyDescent="0.25">
      <c r="A146" s="42" t="s">
        <v>21</v>
      </c>
      <c r="B146" s="42">
        <v>12324125</v>
      </c>
      <c r="C146" s="42" t="s">
        <v>14</v>
      </c>
      <c r="D146" s="42" t="s">
        <v>8</v>
      </c>
      <c r="E146" s="42">
        <v>7</v>
      </c>
      <c r="F146" s="42" t="s">
        <v>20</v>
      </c>
      <c r="G146" s="41" t="s">
        <v>536</v>
      </c>
    </row>
    <row r="147" spans="1:7" x14ac:dyDescent="0.25">
      <c r="A147" s="42" t="s">
        <v>21</v>
      </c>
      <c r="B147" s="42">
        <v>12307953</v>
      </c>
      <c r="C147" s="42" t="s">
        <v>14</v>
      </c>
      <c r="D147" s="42" t="s">
        <v>8</v>
      </c>
      <c r="E147" s="42">
        <v>7</v>
      </c>
      <c r="F147" s="42" t="s">
        <v>20</v>
      </c>
      <c r="G147" s="41" t="s">
        <v>542</v>
      </c>
    </row>
    <row r="148" spans="1:7" x14ac:dyDescent="0.25">
      <c r="A148" s="42" t="s">
        <v>21</v>
      </c>
      <c r="B148" s="42">
        <v>12312527</v>
      </c>
      <c r="C148" s="42" t="s">
        <v>14</v>
      </c>
      <c r="D148" s="42" t="s">
        <v>8</v>
      </c>
      <c r="E148" s="42">
        <v>7</v>
      </c>
      <c r="F148" s="42" t="s">
        <v>20</v>
      </c>
      <c r="G148" s="41" t="s">
        <v>357</v>
      </c>
    </row>
    <row r="149" spans="1:7" x14ac:dyDescent="0.25">
      <c r="A149" s="42" t="s">
        <v>21</v>
      </c>
      <c r="B149" s="42">
        <v>12304100</v>
      </c>
      <c r="C149" s="42" t="s">
        <v>14</v>
      </c>
      <c r="D149" s="42" t="s">
        <v>8</v>
      </c>
      <c r="E149" s="42">
        <v>7</v>
      </c>
      <c r="F149" s="42" t="s">
        <v>20</v>
      </c>
      <c r="G149" s="41" t="s">
        <v>733</v>
      </c>
    </row>
    <row r="150" spans="1:7" x14ac:dyDescent="0.25">
      <c r="A150" s="42" t="s">
        <v>21</v>
      </c>
      <c r="B150" s="42">
        <v>12302951</v>
      </c>
      <c r="C150" s="42" t="s">
        <v>14</v>
      </c>
      <c r="D150" s="42" t="s">
        <v>8</v>
      </c>
      <c r="E150" s="42">
        <v>7</v>
      </c>
      <c r="F150" s="42" t="s">
        <v>20</v>
      </c>
      <c r="G150" s="41" t="s">
        <v>734</v>
      </c>
    </row>
    <row r="151" spans="1:7" x14ac:dyDescent="0.25">
      <c r="A151" s="42" t="s">
        <v>21</v>
      </c>
      <c r="B151" s="42">
        <v>12268754</v>
      </c>
      <c r="C151" s="42" t="s">
        <v>14</v>
      </c>
      <c r="D151" s="42" t="s">
        <v>8</v>
      </c>
      <c r="E151" s="42">
        <v>7</v>
      </c>
      <c r="F151" s="42" t="s">
        <v>20</v>
      </c>
      <c r="G151" s="41" t="s">
        <v>494</v>
      </c>
    </row>
    <row r="152" spans="1:7" x14ac:dyDescent="0.25">
      <c r="A152" s="42" t="s">
        <v>21</v>
      </c>
      <c r="B152" s="42">
        <v>12337640</v>
      </c>
      <c r="C152" s="42" t="s">
        <v>14</v>
      </c>
      <c r="D152" s="42" t="s">
        <v>8</v>
      </c>
      <c r="E152" s="42">
        <v>7</v>
      </c>
      <c r="F152" s="42" t="s">
        <v>20</v>
      </c>
      <c r="G152" s="41" t="s">
        <v>735</v>
      </c>
    </row>
    <row r="153" spans="1:7" x14ac:dyDescent="0.25">
      <c r="A153" s="42" t="s">
        <v>21</v>
      </c>
      <c r="B153" s="42">
        <v>12337611</v>
      </c>
      <c r="C153" s="42" t="s">
        <v>14</v>
      </c>
      <c r="D153" s="42" t="s">
        <v>8</v>
      </c>
      <c r="E153" s="42">
        <v>7</v>
      </c>
      <c r="F153" s="42" t="s">
        <v>20</v>
      </c>
      <c r="G153" s="41" t="s">
        <v>736</v>
      </c>
    </row>
    <row r="154" spans="1:7" x14ac:dyDescent="0.25">
      <c r="A154" s="42" t="s">
        <v>21</v>
      </c>
      <c r="B154" s="42">
        <v>12313893</v>
      </c>
      <c r="C154" s="42" t="s">
        <v>14</v>
      </c>
      <c r="D154" s="42" t="s">
        <v>8</v>
      </c>
      <c r="E154" s="42">
        <v>7</v>
      </c>
      <c r="F154" s="42" t="s">
        <v>20</v>
      </c>
      <c r="G154" s="41" t="s">
        <v>737</v>
      </c>
    </row>
    <row r="155" spans="1:7" x14ac:dyDescent="0.25">
      <c r="A155" s="42" t="s">
        <v>21</v>
      </c>
      <c r="B155" s="42">
        <v>12312508</v>
      </c>
      <c r="C155" s="42" t="s">
        <v>14</v>
      </c>
      <c r="D155" s="42" t="s">
        <v>8</v>
      </c>
      <c r="E155" s="42">
        <v>7</v>
      </c>
      <c r="F155" s="42" t="s">
        <v>20</v>
      </c>
      <c r="G155" s="41" t="s">
        <v>738</v>
      </c>
    </row>
    <row r="156" spans="1:7" x14ac:dyDescent="0.25">
      <c r="A156" s="42" t="s">
        <v>21</v>
      </c>
      <c r="B156" s="42">
        <v>12312525</v>
      </c>
      <c r="C156" s="42" t="s">
        <v>14</v>
      </c>
      <c r="D156" s="42" t="s">
        <v>8</v>
      </c>
      <c r="E156" s="42">
        <v>7</v>
      </c>
      <c r="F156" s="42" t="s">
        <v>20</v>
      </c>
      <c r="G156" s="41" t="s">
        <v>739</v>
      </c>
    </row>
    <row r="157" spans="1:7" x14ac:dyDescent="0.25">
      <c r="A157" s="42" t="s">
        <v>21</v>
      </c>
      <c r="B157" s="42">
        <v>12312593</v>
      </c>
      <c r="C157" s="42" t="s">
        <v>14</v>
      </c>
      <c r="D157" s="42" t="s">
        <v>8</v>
      </c>
      <c r="E157" s="42">
        <v>7</v>
      </c>
      <c r="F157" s="42" t="s">
        <v>20</v>
      </c>
      <c r="G157" s="41" t="s">
        <v>740</v>
      </c>
    </row>
    <row r="158" spans="1:7" x14ac:dyDescent="0.25">
      <c r="A158" s="42" t="s">
        <v>21</v>
      </c>
      <c r="B158" s="42">
        <v>12322202</v>
      </c>
      <c r="C158" s="42" t="s">
        <v>14</v>
      </c>
      <c r="D158" s="42" t="s">
        <v>8</v>
      </c>
      <c r="E158" s="42">
        <v>7</v>
      </c>
      <c r="F158" s="42" t="s">
        <v>20</v>
      </c>
      <c r="G158" s="41" t="s">
        <v>741</v>
      </c>
    </row>
    <row r="159" spans="1:7" x14ac:dyDescent="0.25">
      <c r="A159" s="42" t="s">
        <v>21</v>
      </c>
      <c r="B159" s="42">
        <v>12280291</v>
      </c>
      <c r="C159" s="42" t="s">
        <v>14</v>
      </c>
      <c r="D159" s="42" t="s">
        <v>8</v>
      </c>
      <c r="E159" s="42">
        <v>7</v>
      </c>
      <c r="F159" s="42" t="s">
        <v>20</v>
      </c>
      <c r="G159" s="41" t="s">
        <v>742</v>
      </c>
    </row>
    <row r="160" spans="1:7" x14ac:dyDescent="0.25">
      <c r="A160" s="42" t="s">
        <v>21</v>
      </c>
      <c r="B160" s="42">
        <v>12312526</v>
      </c>
      <c r="C160" s="42" t="s">
        <v>14</v>
      </c>
      <c r="D160" s="42" t="s">
        <v>8</v>
      </c>
      <c r="E160" s="42">
        <v>7</v>
      </c>
      <c r="F160" s="42" t="s">
        <v>20</v>
      </c>
      <c r="G160" s="41" t="s">
        <v>743</v>
      </c>
    </row>
    <row r="161" spans="1:7" x14ac:dyDescent="0.25">
      <c r="A161" s="42" t="s">
        <v>21</v>
      </c>
      <c r="B161" s="42">
        <v>12323089</v>
      </c>
      <c r="C161" s="42" t="s">
        <v>14</v>
      </c>
      <c r="D161" s="42" t="s">
        <v>8</v>
      </c>
      <c r="E161" s="42">
        <v>7</v>
      </c>
      <c r="F161" s="42" t="s">
        <v>20</v>
      </c>
      <c r="G161" s="41" t="s">
        <v>744</v>
      </c>
    </row>
    <row r="162" spans="1:7" x14ac:dyDescent="0.25">
      <c r="A162" s="42" t="s">
        <v>21</v>
      </c>
      <c r="B162" s="42">
        <v>12335512</v>
      </c>
      <c r="C162" s="42" t="s">
        <v>14</v>
      </c>
      <c r="D162" s="42" t="s">
        <v>8</v>
      </c>
      <c r="E162" s="42">
        <v>7</v>
      </c>
      <c r="F162" s="42" t="s">
        <v>20</v>
      </c>
      <c r="G162" s="41" t="s">
        <v>745</v>
      </c>
    </row>
    <row r="163" spans="1:7" x14ac:dyDescent="0.25">
      <c r="A163" s="42" t="s">
        <v>21</v>
      </c>
      <c r="B163" s="42">
        <v>12324192</v>
      </c>
      <c r="C163" s="42" t="s">
        <v>14</v>
      </c>
      <c r="D163" s="42" t="s">
        <v>8</v>
      </c>
      <c r="E163" s="42">
        <v>7</v>
      </c>
      <c r="F163" s="42" t="s">
        <v>20</v>
      </c>
      <c r="G163" s="41" t="s">
        <v>746</v>
      </c>
    </row>
    <row r="164" spans="1:7" x14ac:dyDescent="0.25">
      <c r="A164" s="42" t="s">
        <v>21</v>
      </c>
      <c r="B164" s="42">
        <v>12304713</v>
      </c>
      <c r="C164" s="42" t="s">
        <v>14</v>
      </c>
      <c r="D164" s="42" t="s">
        <v>8</v>
      </c>
      <c r="E164" s="42">
        <v>7</v>
      </c>
      <c r="F164" s="42" t="s">
        <v>20</v>
      </c>
      <c r="G164" s="41" t="s">
        <v>747</v>
      </c>
    </row>
    <row r="165" spans="1:7" x14ac:dyDescent="0.25">
      <c r="A165" s="42" t="s">
        <v>21</v>
      </c>
      <c r="B165" s="42">
        <v>12314401</v>
      </c>
      <c r="C165" s="42" t="s">
        <v>14</v>
      </c>
      <c r="D165" s="42" t="s">
        <v>8</v>
      </c>
      <c r="E165" s="42">
        <v>7</v>
      </c>
      <c r="F165" s="42" t="s">
        <v>20</v>
      </c>
      <c r="G165" s="41" t="s">
        <v>748</v>
      </c>
    </row>
    <row r="166" spans="1:7" x14ac:dyDescent="0.25">
      <c r="A166" s="42" t="s">
        <v>21</v>
      </c>
      <c r="B166" s="42">
        <v>12315778</v>
      </c>
      <c r="C166" s="42" t="s">
        <v>14</v>
      </c>
      <c r="D166" s="42" t="s">
        <v>8</v>
      </c>
      <c r="E166" s="42">
        <v>7</v>
      </c>
      <c r="F166" s="42" t="s">
        <v>20</v>
      </c>
      <c r="G166" s="41" t="s">
        <v>749</v>
      </c>
    </row>
    <row r="167" spans="1:7" x14ac:dyDescent="0.25">
      <c r="A167" s="42" t="s">
        <v>21</v>
      </c>
      <c r="B167" s="42">
        <v>12320814</v>
      </c>
      <c r="C167" s="42" t="s">
        <v>14</v>
      </c>
      <c r="D167" s="42" t="s">
        <v>8</v>
      </c>
      <c r="E167" s="42">
        <v>7</v>
      </c>
      <c r="F167" s="42" t="s">
        <v>20</v>
      </c>
      <c r="G167" s="41" t="s">
        <v>750</v>
      </c>
    </row>
    <row r="168" spans="1:7" x14ac:dyDescent="0.25">
      <c r="A168" s="42" t="s">
        <v>21</v>
      </c>
      <c r="B168" s="42">
        <v>12327537</v>
      </c>
      <c r="C168" s="42" t="s">
        <v>14</v>
      </c>
      <c r="D168" s="42" t="s">
        <v>8</v>
      </c>
      <c r="E168" s="42">
        <v>7</v>
      </c>
      <c r="F168" s="42" t="s">
        <v>20</v>
      </c>
      <c r="G168" s="41" t="s">
        <v>751</v>
      </c>
    </row>
    <row r="169" spans="1:7" x14ac:dyDescent="0.25">
      <c r="A169" s="42" t="s">
        <v>21</v>
      </c>
      <c r="B169" s="42">
        <v>12313990</v>
      </c>
      <c r="C169" s="42" t="s">
        <v>14</v>
      </c>
      <c r="D169" s="42" t="s">
        <v>8</v>
      </c>
      <c r="E169" s="42">
        <v>7</v>
      </c>
      <c r="F169" s="42" t="s">
        <v>20</v>
      </c>
      <c r="G169" s="41" t="s">
        <v>752</v>
      </c>
    </row>
    <row r="170" spans="1:7" x14ac:dyDescent="0.25">
      <c r="A170" s="42" t="s">
        <v>21</v>
      </c>
      <c r="B170" s="42">
        <v>12345018</v>
      </c>
      <c r="C170" s="42" t="s">
        <v>14</v>
      </c>
      <c r="D170" s="42" t="s">
        <v>8</v>
      </c>
      <c r="E170" s="42">
        <v>7</v>
      </c>
      <c r="F170" s="42" t="s">
        <v>20</v>
      </c>
      <c r="G170" s="41" t="s">
        <v>753</v>
      </c>
    </row>
    <row r="171" spans="1:7" x14ac:dyDescent="0.25">
      <c r="A171" s="42" t="s">
        <v>21</v>
      </c>
      <c r="B171" s="42">
        <v>12310536</v>
      </c>
      <c r="C171" s="42" t="s">
        <v>14</v>
      </c>
      <c r="D171" s="42" t="s">
        <v>8</v>
      </c>
      <c r="E171" s="42">
        <v>7</v>
      </c>
      <c r="F171" s="42" t="s">
        <v>20</v>
      </c>
      <c r="G171" s="41" t="s">
        <v>754</v>
      </c>
    </row>
    <row r="172" spans="1:7" x14ac:dyDescent="0.25">
      <c r="A172" s="42" t="s">
        <v>21</v>
      </c>
      <c r="B172" s="42">
        <v>12311436</v>
      </c>
      <c r="C172" s="42" t="s">
        <v>14</v>
      </c>
      <c r="D172" s="42" t="s">
        <v>8</v>
      </c>
      <c r="E172" s="42">
        <v>7</v>
      </c>
      <c r="F172" s="42" t="s">
        <v>20</v>
      </c>
      <c r="G172" s="41" t="s">
        <v>755</v>
      </c>
    </row>
    <row r="173" spans="1:7" x14ac:dyDescent="0.25">
      <c r="A173" s="42" t="s">
        <v>21</v>
      </c>
      <c r="B173" s="42">
        <v>12345753</v>
      </c>
      <c r="C173" s="42" t="s">
        <v>14</v>
      </c>
      <c r="D173" s="42" t="s">
        <v>8</v>
      </c>
      <c r="E173" s="42">
        <v>7</v>
      </c>
      <c r="F173" s="42" t="s">
        <v>20</v>
      </c>
      <c r="G173" s="41" t="s">
        <v>756</v>
      </c>
    </row>
    <row r="174" spans="1:7" x14ac:dyDescent="0.25">
      <c r="A174" s="42" t="s">
        <v>21</v>
      </c>
      <c r="B174" s="42">
        <v>12328007</v>
      </c>
      <c r="C174" s="42" t="s">
        <v>14</v>
      </c>
      <c r="D174" s="42" t="s">
        <v>8</v>
      </c>
      <c r="E174" s="42">
        <v>7</v>
      </c>
      <c r="F174" s="42" t="s">
        <v>20</v>
      </c>
      <c r="G174" s="41" t="s">
        <v>757</v>
      </c>
    </row>
    <row r="175" spans="1:7" x14ac:dyDescent="0.25">
      <c r="A175" s="42" t="s">
        <v>21</v>
      </c>
      <c r="B175" s="42">
        <v>12326219</v>
      </c>
      <c r="C175" s="42" t="s">
        <v>14</v>
      </c>
      <c r="D175" s="42" t="s">
        <v>8</v>
      </c>
      <c r="E175" s="42">
        <v>7</v>
      </c>
      <c r="F175" s="42" t="s">
        <v>20</v>
      </c>
      <c r="G175" s="41" t="s">
        <v>758</v>
      </c>
    </row>
    <row r="176" spans="1:7" x14ac:dyDescent="0.25">
      <c r="A176" s="42" t="s">
        <v>21</v>
      </c>
      <c r="B176" s="42">
        <v>12313978</v>
      </c>
      <c r="C176" s="42" t="s">
        <v>14</v>
      </c>
      <c r="D176" s="42" t="s">
        <v>8</v>
      </c>
      <c r="E176" s="42">
        <v>7</v>
      </c>
      <c r="F176" s="42" t="s">
        <v>20</v>
      </c>
      <c r="G176" s="41" t="s">
        <v>759</v>
      </c>
    </row>
    <row r="177" spans="1:7" x14ac:dyDescent="0.25">
      <c r="A177" s="42" t="s">
        <v>21</v>
      </c>
      <c r="B177" s="42">
        <v>12328045</v>
      </c>
      <c r="C177" s="42" t="s">
        <v>14</v>
      </c>
      <c r="D177" s="42" t="s">
        <v>8</v>
      </c>
      <c r="E177" s="42">
        <v>7</v>
      </c>
      <c r="F177" s="42" t="s">
        <v>20</v>
      </c>
      <c r="G177" s="41" t="s">
        <v>760</v>
      </c>
    </row>
    <row r="178" spans="1:7" x14ac:dyDescent="0.25">
      <c r="A178" s="42" t="s">
        <v>21</v>
      </c>
      <c r="B178" s="42">
        <v>12325040</v>
      </c>
      <c r="C178" s="42" t="s">
        <v>14</v>
      </c>
      <c r="D178" s="42" t="s">
        <v>8</v>
      </c>
      <c r="E178" s="42">
        <v>7</v>
      </c>
      <c r="F178" s="42" t="s">
        <v>20</v>
      </c>
      <c r="G178" s="41" t="s">
        <v>761</v>
      </c>
    </row>
    <row r="179" spans="1:7" x14ac:dyDescent="0.25">
      <c r="A179" s="42" t="s">
        <v>21</v>
      </c>
      <c r="B179" s="42">
        <v>12326073</v>
      </c>
      <c r="C179" s="42" t="s">
        <v>14</v>
      </c>
      <c r="D179" s="42" t="s">
        <v>8</v>
      </c>
      <c r="E179" s="42">
        <v>7</v>
      </c>
      <c r="F179" s="42" t="s">
        <v>20</v>
      </c>
      <c r="G179" s="41" t="s">
        <v>762</v>
      </c>
    </row>
    <row r="180" spans="1:7" x14ac:dyDescent="0.25">
      <c r="A180" s="42" t="s">
        <v>21</v>
      </c>
      <c r="B180" s="42">
        <v>12344998</v>
      </c>
      <c r="C180" s="42" t="s">
        <v>14</v>
      </c>
      <c r="D180" s="42" t="s">
        <v>8</v>
      </c>
      <c r="E180" s="42">
        <v>7</v>
      </c>
      <c r="F180" s="42" t="s">
        <v>20</v>
      </c>
      <c r="G180" s="41" t="s">
        <v>763</v>
      </c>
    </row>
    <row r="181" spans="1:7" x14ac:dyDescent="0.25">
      <c r="A181" s="42" t="s">
        <v>21</v>
      </c>
      <c r="B181" s="42">
        <v>12304139</v>
      </c>
      <c r="C181" s="42" t="s">
        <v>14</v>
      </c>
      <c r="D181" s="42" t="s">
        <v>8</v>
      </c>
      <c r="E181" s="42">
        <v>7</v>
      </c>
      <c r="F181" s="42" t="s">
        <v>20</v>
      </c>
      <c r="G181" s="41" t="s">
        <v>563</v>
      </c>
    </row>
    <row r="182" spans="1:7" x14ac:dyDescent="0.25">
      <c r="A182" s="42" t="s">
        <v>21</v>
      </c>
      <c r="B182" s="42">
        <v>12306597</v>
      </c>
      <c r="C182" s="42" t="s">
        <v>14</v>
      </c>
      <c r="D182" s="42" t="s">
        <v>8</v>
      </c>
      <c r="E182" s="42">
        <v>7</v>
      </c>
      <c r="F182" s="42" t="s">
        <v>20</v>
      </c>
      <c r="G182" s="41" t="s">
        <v>501</v>
      </c>
    </row>
    <row r="183" spans="1:7" x14ac:dyDescent="0.25">
      <c r="A183" s="42" t="s">
        <v>21</v>
      </c>
      <c r="B183" s="42">
        <v>12332078</v>
      </c>
      <c r="C183" s="42" t="s">
        <v>14</v>
      </c>
      <c r="D183" s="42" t="s">
        <v>8</v>
      </c>
      <c r="E183" s="42">
        <v>7</v>
      </c>
      <c r="F183" s="42" t="s">
        <v>20</v>
      </c>
      <c r="G183" s="41" t="s">
        <v>507</v>
      </c>
    </row>
    <row r="184" spans="1:7" x14ac:dyDescent="0.25">
      <c r="A184" s="42" t="s">
        <v>21</v>
      </c>
      <c r="B184" s="42">
        <v>12301331</v>
      </c>
      <c r="C184" s="42" t="s">
        <v>14</v>
      </c>
      <c r="D184" s="42" t="s">
        <v>8</v>
      </c>
      <c r="E184" s="42">
        <v>7</v>
      </c>
      <c r="F184" s="42" t="s">
        <v>20</v>
      </c>
      <c r="G184" s="41" t="s">
        <v>508</v>
      </c>
    </row>
    <row r="185" spans="1:7" x14ac:dyDescent="0.25">
      <c r="A185" s="42" t="s">
        <v>21</v>
      </c>
      <c r="B185" s="42">
        <v>12298730</v>
      </c>
      <c r="C185" s="42" t="s">
        <v>14</v>
      </c>
      <c r="D185" s="42" t="s">
        <v>8</v>
      </c>
      <c r="E185" s="42">
        <v>7</v>
      </c>
      <c r="F185" s="42" t="s">
        <v>20</v>
      </c>
      <c r="G185" s="41" t="s">
        <v>512</v>
      </c>
    </row>
    <row r="186" spans="1:7" x14ac:dyDescent="0.25">
      <c r="A186" s="42" t="s">
        <v>21</v>
      </c>
      <c r="B186" s="42">
        <v>12328504</v>
      </c>
      <c r="C186" s="42" t="s">
        <v>14</v>
      </c>
      <c r="D186" s="42" t="s">
        <v>8</v>
      </c>
      <c r="E186" s="42">
        <v>7</v>
      </c>
      <c r="F186" s="42" t="s">
        <v>20</v>
      </c>
      <c r="G186" s="41" t="s">
        <v>514</v>
      </c>
    </row>
    <row r="187" spans="1:7" x14ac:dyDescent="0.25">
      <c r="A187" s="42" t="s">
        <v>21</v>
      </c>
      <c r="B187" s="42">
        <v>12330415</v>
      </c>
      <c r="C187" s="42" t="s">
        <v>14</v>
      </c>
      <c r="D187" s="42" t="s">
        <v>8</v>
      </c>
      <c r="E187" s="42">
        <v>7</v>
      </c>
      <c r="F187" s="42" t="s">
        <v>20</v>
      </c>
      <c r="G187" s="41" t="s">
        <v>517</v>
      </c>
    </row>
    <row r="188" spans="1:7" x14ac:dyDescent="0.25">
      <c r="A188" s="42" t="s">
        <v>21</v>
      </c>
      <c r="B188" s="42">
        <v>12330426</v>
      </c>
      <c r="C188" s="42" t="s">
        <v>14</v>
      </c>
      <c r="D188" s="42" t="s">
        <v>8</v>
      </c>
      <c r="E188" s="42">
        <v>7</v>
      </c>
      <c r="F188" s="42" t="s">
        <v>20</v>
      </c>
      <c r="G188" s="41" t="s">
        <v>520</v>
      </c>
    </row>
    <row r="189" spans="1:7" x14ac:dyDescent="0.25">
      <c r="A189" s="42" t="s">
        <v>21</v>
      </c>
      <c r="B189" s="42">
        <v>12316147</v>
      </c>
      <c r="C189" s="42" t="s">
        <v>14</v>
      </c>
      <c r="D189" s="42" t="s">
        <v>8</v>
      </c>
      <c r="E189" s="42">
        <v>7</v>
      </c>
      <c r="F189" s="42" t="s">
        <v>20</v>
      </c>
      <c r="G189" s="41" t="s">
        <v>524</v>
      </c>
    </row>
    <row r="190" spans="1:7" x14ac:dyDescent="0.25">
      <c r="A190" s="42" t="s">
        <v>21</v>
      </c>
      <c r="B190" s="42">
        <v>12300430</v>
      </c>
      <c r="C190" s="42" t="s">
        <v>14</v>
      </c>
      <c r="D190" s="42" t="s">
        <v>8</v>
      </c>
      <c r="E190" s="42">
        <v>7</v>
      </c>
      <c r="F190" s="42" t="s">
        <v>20</v>
      </c>
      <c r="G190" s="41" t="s">
        <v>527</v>
      </c>
    </row>
    <row r="191" spans="1:7" x14ac:dyDescent="0.25">
      <c r="A191" s="42" t="s">
        <v>21</v>
      </c>
      <c r="B191" s="42">
        <v>12331303</v>
      </c>
      <c r="C191" s="42" t="s">
        <v>14</v>
      </c>
      <c r="D191" s="42" t="s">
        <v>8</v>
      </c>
      <c r="E191" s="42">
        <v>7</v>
      </c>
      <c r="F191" s="42" t="s">
        <v>20</v>
      </c>
      <c r="G191" s="41" t="s">
        <v>534</v>
      </c>
    </row>
    <row r="192" spans="1:7" x14ac:dyDescent="0.25">
      <c r="A192" s="42" t="s">
        <v>21</v>
      </c>
      <c r="B192" s="42">
        <v>12332740</v>
      </c>
      <c r="C192" s="42" t="s">
        <v>14</v>
      </c>
      <c r="D192" s="42" t="s">
        <v>8</v>
      </c>
      <c r="E192" s="42">
        <v>7</v>
      </c>
      <c r="F192" s="42" t="s">
        <v>20</v>
      </c>
      <c r="G192" s="41" t="s">
        <v>764</v>
      </c>
    </row>
    <row r="193" spans="1:7" x14ac:dyDescent="0.25">
      <c r="A193" s="42" t="s">
        <v>21</v>
      </c>
      <c r="B193" s="42">
        <v>12254912</v>
      </c>
      <c r="C193" s="42" t="s">
        <v>14</v>
      </c>
      <c r="D193" s="42" t="s">
        <v>8</v>
      </c>
      <c r="E193" s="42">
        <v>7</v>
      </c>
      <c r="F193" s="42" t="s">
        <v>20</v>
      </c>
      <c r="G193" s="41" t="s">
        <v>765</v>
      </c>
    </row>
    <row r="194" spans="1:7" x14ac:dyDescent="0.25">
      <c r="A194" s="42" t="s">
        <v>21</v>
      </c>
      <c r="B194" s="42">
        <v>12309041</v>
      </c>
      <c r="C194" s="42" t="s">
        <v>14</v>
      </c>
      <c r="D194" s="42" t="s">
        <v>8</v>
      </c>
      <c r="E194" s="42">
        <v>7</v>
      </c>
      <c r="F194" s="42" t="s">
        <v>20</v>
      </c>
      <c r="G194" s="41" t="s">
        <v>766</v>
      </c>
    </row>
    <row r="195" spans="1:7" x14ac:dyDescent="0.25">
      <c r="A195" s="42" t="s">
        <v>21</v>
      </c>
      <c r="B195" s="42">
        <v>12303880</v>
      </c>
      <c r="C195" s="42" t="s">
        <v>14</v>
      </c>
      <c r="D195" s="42" t="s">
        <v>8</v>
      </c>
      <c r="E195" s="42">
        <v>7</v>
      </c>
      <c r="F195" s="42" t="s">
        <v>20</v>
      </c>
      <c r="G195" s="41" t="s">
        <v>767</v>
      </c>
    </row>
    <row r="196" spans="1:7" x14ac:dyDescent="0.25">
      <c r="A196" s="42" t="s">
        <v>21</v>
      </c>
      <c r="B196" s="42">
        <v>12337014</v>
      </c>
      <c r="C196" s="42" t="s">
        <v>14</v>
      </c>
      <c r="D196" s="42" t="s">
        <v>8</v>
      </c>
      <c r="E196" s="42">
        <v>7</v>
      </c>
      <c r="F196" s="42" t="s">
        <v>20</v>
      </c>
      <c r="G196" s="41" t="s">
        <v>768</v>
      </c>
    </row>
    <row r="197" spans="1:7" x14ac:dyDescent="0.25">
      <c r="A197" s="42" t="s">
        <v>21</v>
      </c>
      <c r="B197" s="42">
        <v>12310145</v>
      </c>
      <c r="C197" s="42" t="s">
        <v>14</v>
      </c>
      <c r="D197" s="42" t="s">
        <v>8</v>
      </c>
      <c r="E197" s="42">
        <v>7</v>
      </c>
      <c r="F197" s="42" t="s">
        <v>20</v>
      </c>
      <c r="G197" s="41" t="s">
        <v>769</v>
      </c>
    </row>
    <row r="198" spans="1:7" x14ac:dyDescent="0.25">
      <c r="A198" s="42" t="s">
        <v>21</v>
      </c>
      <c r="B198" s="42">
        <v>12294493</v>
      </c>
      <c r="C198" s="42" t="s">
        <v>14</v>
      </c>
      <c r="D198" s="42" t="s">
        <v>8</v>
      </c>
      <c r="E198" s="42">
        <v>7</v>
      </c>
      <c r="F198" s="42" t="s">
        <v>20</v>
      </c>
      <c r="G198" s="41" t="s">
        <v>770</v>
      </c>
    </row>
    <row r="199" spans="1:7" x14ac:dyDescent="0.25">
      <c r="A199" s="42" t="s">
        <v>21</v>
      </c>
      <c r="B199" s="42">
        <v>12313808</v>
      </c>
      <c r="C199" s="42" t="s">
        <v>14</v>
      </c>
      <c r="D199" s="42" t="s">
        <v>8</v>
      </c>
      <c r="E199" s="42">
        <v>7</v>
      </c>
      <c r="F199" s="42" t="s">
        <v>20</v>
      </c>
      <c r="G199" s="41" t="s">
        <v>771</v>
      </c>
    </row>
    <row r="200" spans="1:7" x14ac:dyDescent="0.25">
      <c r="A200" s="42" t="s">
        <v>21</v>
      </c>
      <c r="B200" s="42">
        <v>12318669</v>
      </c>
      <c r="C200" s="42" t="s">
        <v>14</v>
      </c>
      <c r="D200" s="42" t="s">
        <v>8</v>
      </c>
      <c r="E200" s="42">
        <v>7</v>
      </c>
      <c r="F200" s="42" t="s">
        <v>20</v>
      </c>
      <c r="G200" s="41" t="s">
        <v>772</v>
      </c>
    </row>
    <row r="201" spans="1:7" x14ac:dyDescent="0.25">
      <c r="A201" s="42" t="s">
        <v>21</v>
      </c>
      <c r="B201" s="42">
        <v>12312362</v>
      </c>
      <c r="C201" s="42" t="s">
        <v>14</v>
      </c>
      <c r="D201" s="42" t="s">
        <v>8</v>
      </c>
      <c r="E201" s="42">
        <v>7</v>
      </c>
      <c r="F201" s="42" t="s">
        <v>20</v>
      </c>
      <c r="G201" s="41" t="s">
        <v>773</v>
      </c>
    </row>
    <row r="202" spans="1:7" x14ac:dyDescent="0.25">
      <c r="A202" s="42" t="s">
        <v>21</v>
      </c>
      <c r="B202" s="42">
        <v>12312509</v>
      </c>
      <c r="C202" s="42" t="s">
        <v>14</v>
      </c>
      <c r="D202" s="42" t="s">
        <v>8</v>
      </c>
      <c r="E202" s="42">
        <v>7</v>
      </c>
      <c r="F202" s="42" t="s">
        <v>20</v>
      </c>
      <c r="G202" s="41" t="s">
        <v>774</v>
      </c>
    </row>
    <row r="203" spans="1:7" x14ac:dyDescent="0.25">
      <c r="A203" s="42" t="s">
        <v>21</v>
      </c>
      <c r="B203" s="42">
        <v>12327761</v>
      </c>
      <c r="C203" s="42" t="s">
        <v>14</v>
      </c>
      <c r="D203" s="42" t="s">
        <v>8</v>
      </c>
      <c r="E203" s="42">
        <v>7</v>
      </c>
      <c r="F203" s="42" t="s">
        <v>20</v>
      </c>
      <c r="G203" s="41" t="s">
        <v>775</v>
      </c>
    </row>
    <row r="204" spans="1:7" x14ac:dyDescent="0.25">
      <c r="A204" s="42" t="s">
        <v>21</v>
      </c>
      <c r="B204" s="42">
        <v>12343813</v>
      </c>
      <c r="C204" s="42" t="s">
        <v>14</v>
      </c>
      <c r="D204" s="42" t="s">
        <v>8</v>
      </c>
      <c r="E204" s="42">
        <v>7</v>
      </c>
      <c r="F204" s="42" t="s">
        <v>20</v>
      </c>
      <c r="G204" s="41" t="s">
        <v>776</v>
      </c>
    </row>
    <row r="205" spans="1:7" x14ac:dyDescent="0.25">
      <c r="A205" s="42" t="s">
        <v>21</v>
      </c>
      <c r="B205" s="42">
        <v>12305640</v>
      </c>
      <c r="C205" s="42" t="s">
        <v>14</v>
      </c>
      <c r="D205" s="42" t="s">
        <v>8</v>
      </c>
      <c r="E205" s="42">
        <v>7</v>
      </c>
      <c r="F205" s="42" t="s">
        <v>20</v>
      </c>
      <c r="G205" s="41" t="s">
        <v>777</v>
      </c>
    </row>
    <row r="206" spans="1:7" x14ac:dyDescent="0.25">
      <c r="A206" s="42" t="s">
        <v>21</v>
      </c>
      <c r="B206" s="42">
        <v>12314122</v>
      </c>
      <c r="C206" s="42" t="s">
        <v>14</v>
      </c>
      <c r="D206" s="42" t="s">
        <v>8</v>
      </c>
      <c r="E206" s="42">
        <v>7</v>
      </c>
      <c r="F206" s="42" t="s">
        <v>20</v>
      </c>
      <c r="G206" s="41" t="s">
        <v>778</v>
      </c>
    </row>
    <row r="207" spans="1:7" x14ac:dyDescent="0.25">
      <c r="A207" s="42" t="s">
        <v>21</v>
      </c>
      <c r="B207" s="42">
        <v>12314058</v>
      </c>
      <c r="C207" s="42" t="s">
        <v>14</v>
      </c>
      <c r="D207" s="42" t="s">
        <v>8</v>
      </c>
      <c r="E207" s="42">
        <v>7</v>
      </c>
      <c r="F207" s="42" t="s">
        <v>20</v>
      </c>
      <c r="G207" s="41" t="s">
        <v>779</v>
      </c>
    </row>
    <row r="208" spans="1:7" x14ac:dyDescent="0.25">
      <c r="A208" s="42" t="s">
        <v>21</v>
      </c>
      <c r="B208" s="42">
        <v>12314517</v>
      </c>
      <c r="C208" s="42" t="s">
        <v>14</v>
      </c>
      <c r="D208" s="42" t="s">
        <v>8</v>
      </c>
      <c r="E208" s="42">
        <v>7</v>
      </c>
      <c r="F208" s="42" t="s">
        <v>20</v>
      </c>
      <c r="G208" s="41" t="s">
        <v>780</v>
      </c>
    </row>
    <row r="209" spans="1:7" x14ac:dyDescent="0.25">
      <c r="A209" s="42" t="s">
        <v>21</v>
      </c>
      <c r="B209" s="42">
        <v>12317161</v>
      </c>
      <c r="C209" s="42" t="s">
        <v>14</v>
      </c>
      <c r="D209" s="42" t="s">
        <v>8</v>
      </c>
      <c r="E209" s="42">
        <v>7</v>
      </c>
      <c r="F209" s="42" t="s">
        <v>20</v>
      </c>
      <c r="G209" s="41" t="s">
        <v>781</v>
      </c>
    </row>
    <row r="210" spans="1:7" x14ac:dyDescent="0.25">
      <c r="A210" s="42" t="s">
        <v>21</v>
      </c>
      <c r="B210" s="42">
        <v>12338655</v>
      </c>
      <c r="C210" s="42" t="s">
        <v>14</v>
      </c>
      <c r="D210" s="42" t="s">
        <v>8</v>
      </c>
      <c r="E210" s="42">
        <v>7</v>
      </c>
      <c r="F210" s="42" t="s">
        <v>20</v>
      </c>
      <c r="G210" s="41" t="s">
        <v>782</v>
      </c>
    </row>
    <row r="211" spans="1:7" x14ac:dyDescent="0.25">
      <c r="A211" s="42" t="s">
        <v>21</v>
      </c>
      <c r="B211" s="42">
        <v>12322706</v>
      </c>
      <c r="C211" s="42" t="s">
        <v>14</v>
      </c>
      <c r="D211" s="42" t="s">
        <v>8</v>
      </c>
      <c r="E211" s="42">
        <v>7</v>
      </c>
      <c r="F211" s="42" t="s">
        <v>20</v>
      </c>
      <c r="G211" s="41" t="s">
        <v>783</v>
      </c>
    </row>
    <row r="212" spans="1:7" x14ac:dyDescent="0.25">
      <c r="A212" s="42" t="s">
        <v>21</v>
      </c>
      <c r="B212" s="42">
        <v>12335951</v>
      </c>
      <c r="C212" s="42" t="s">
        <v>14</v>
      </c>
      <c r="D212" s="42" t="s">
        <v>8</v>
      </c>
      <c r="E212" s="42">
        <v>7</v>
      </c>
      <c r="F212" s="42" t="s">
        <v>20</v>
      </c>
      <c r="G212" s="41" t="s">
        <v>784</v>
      </c>
    </row>
    <row r="213" spans="1:7" x14ac:dyDescent="0.25">
      <c r="A213" s="42" t="s">
        <v>21</v>
      </c>
      <c r="B213" s="42">
        <v>12311328</v>
      </c>
      <c r="C213" s="42" t="s">
        <v>14</v>
      </c>
      <c r="D213" s="42" t="s">
        <v>8</v>
      </c>
      <c r="E213" s="42">
        <v>7</v>
      </c>
      <c r="F213" s="42" t="s">
        <v>20</v>
      </c>
      <c r="G213" s="41" t="s">
        <v>785</v>
      </c>
    </row>
    <row r="214" spans="1:7" x14ac:dyDescent="0.25">
      <c r="A214" s="42" t="s">
        <v>21</v>
      </c>
      <c r="B214" s="42">
        <v>12324798</v>
      </c>
      <c r="C214" s="42" t="s">
        <v>14</v>
      </c>
      <c r="D214" s="42" t="s">
        <v>8</v>
      </c>
      <c r="E214" s="42">
        <v>7</v>
      </c>
      <c r="F214" s="42" t="s">
        <v>20</v>
      </c>
      <c r="G214" s="41" t="s">
        <v>786</v>
      </c>
    </row>
    <row r="215" spans="1:7" x14ac:dyDescent="0.25">
      <c r="A215" s="42" t="s">
        <v>21</v>
      </c>
      <c r="B215" s="42">
        <v>12322705</v>
      </c>
      <c r="C215" s="42" t="s">
        <v>14</v>
      </c>
      <c r="D215" s="42" t="s">
        <v>8</v>
      </c>
      <c r="E215" s="42">
        <v>7</v>
      </c>
      <c r="F215" s="42" t="s">
        <v>20</v>
      </c>
      <c r="G215" s="41" t="s">
        <v>787</v>
      </c>
    </row>
    <row r="216" spans="1:7" x14ac:dyDescent="0.25">
      <c r="A216" s="42" t="s">
        <v>21</v>
      </c>
      <c r="B216" s="42">
        <v>12325211</v>
      </c>
      <c r="C216" s="42" t="s">
        <v>14</v>
      </c>
      <c r="D216" s="42" t="s">
        <v>8</v>
      </c>
      <c r="E216" s="42">
        <v>7</v>
      </c>
      <c r="F216" s="42" t="s">
        <v>20</v>
      </c>
      <c r="G216" s="41" t="s">
        <v>788</v>
      </c>
    </row>
    <row r="217" spans="1:7" x14ac:dyDescent="0.25">
      <c r="A217" s="42" t="s">
        <v>21</v>
      </c>
      <c r="B217" s="42">
        <v>12327607</v>
      </c>
      <c r="C217" s="42" t="s">
        <v>14</v>
      </c>
      <c r="D217" s="42" t="s">
        <v>8</v>
      </c>
      <c r="E217" s="42">
        <v>7</v>
      </c>
      <c r="F217" s="42" t="s">
        <v>20</v>
      </c>
      <c r="G217" s="41" t="s">
        <v>789</v>
      </c>
    </row>
    <row r="218" spans="1:7" x14ac:dyDescent="0.25">
      <c r="A218" s="42" t="s">
        <v>21</v>
      </c>
      <c r="B218" s="42">
        <v>12342674</v>
      </c>
      <c r="C218" s="42" t="s">
        <v>14</v>
      </c>
      <c r="D218" s="42" t="s">
        <v>8</v>
      </c>
      <c r="E218" s="42">
        <v>7</v>
      </c>
      <c r="F218" s="42" t="s">
        <v>20</v>
      </c>
      <c r="G218" s="41" t="s">
        <v>790</v>
      </c>
    </row>
    <row r="219" spans="1:7" x14ac:dyDescent="0.25">
      <c r="A219" s="42" t="s">
        <v>21</v>
      </c>
      <c r="B219" s="42">
        <v>12315990</v>
      </c>
      <c r="C219" s="42" t="s">
        <v>14</v>
      </c>
      <c r="D219" s="42" t="s">
        <v>8</v>
      </c>
      <c r="E219" s="42">
        <v>7</v>
      </c>
      <c r="F219" s="42" t="s">
        <v>20</v>
      </c>
      <c r="G219" s="41" t="s">
        <v>791</v>
      </c>
    </row>
    <row r="220" spans="1:7" x14ac:dyDescent="0.25">
      <c r="A220" s="42" t="s">
        <v>21</v>
      </c>
      <c r="B220" s="42">
        <v>12344267</v>
      </c>
      <c r="C220" s="42" t="s">
        <v>14</v>
      </c>
      <c r="D220" s="42" t="s">
        <v>8</v>
      </c>
      <c r="E220" s="42">
        <v>7</v>
      </c>
      <c r="F220" s="42" t="s">
        <v>20</v>
      </c>
      <c r="G220" s="41" t="s">
        <v>792</v>
      </c>
    </row>
    <row r="221" spans="1:7" x14ac:dyDescent="0.25">
      <c r="A221" s="42" t="s">
        <v>21</v>
      </c>
      <c r="B221" s="42">
        <v>12326896</v>
      </c>
      <c r="C221" s="42" t="s">
        <v>14</v>
      </c>
      <c r="D221" s="42" t="s">
        <v>8</v>
      </c>
      <c r="E221" s="42">
        <v>7</v>
      </c>
      <c r="F221" s="42" t="s">
        <v>20</v>
      </c>
      <c r="G221" s="41" t="s">
        <v>793</v>
      </c>
    </row>
    <row r="222" spans="1:7" x14ac:dyDescent="0.25">
      <c r="A222" s="42" t="s">
        <v>21</v>
      </c>
      <c r="B222" s="42">
        <v>12347900</v>
      </c>
      <c r="C222" s="42" t="s">
        <v>14</v>
      </c>
      <c r="D222" s="42" t="s">
        <v>8</v>
      </c>
      <c r="E222" s="42">
        <v>7</v>
      </c>
      <c r="F222" s="42" t="s">
        <v>20</v>
      </c>
      <c r="G222" s="41" t="s">
        <v>794</v>
      </c>
    </row>
    <row r="223" spans="1:7" x14ac:dyDescent="0.25">
      <c r="A223" s="42" t="s">
        <v>23</v>
      </c>
      <c r="B223" s="42">
        <v>12149846</v>
      </c>
      <c r="C223" s="42" t="s">
        <v>9</v>
      </c>
      <c r="D223" s="42" t="s">
        <v>8</v>
      </c>
      <c r="E223" s="42">
        <v>6</v>
      </c>
      <c r="F223" s="42" t="s">
        <v>19</v>
      </c>
      <c r="G223" s="41" t="s">
        <v>138</v>
      </c>
    </row>
    <row r="224" spans="1:7" x14ac:dyDescent="0.25">
      <c r="A224" s="42" t="s">
        <v>15</v>
      </c>
      <c r="B224" s="42">
        <v>12153374</v>
      </c>
      <c r="C224" s="42" t="s">
        <v>7</v>
      </c>
      <c r="D224" s="42" t="s">
        <v>8</v>
      </c>
      <c r="E224" s="42">
        <v>2</v>
      </c>
      <c r="F224" s="42" t="s">
        <v>12</v>
      </c>
      <c r="G224" s="41" t="s">
        <v>132</v>
      </c>
    </row>
    <row r="225" spans="1:7" x14ac:dyDescent="0.25">
      <c r="A225" s="42" t="s">
        <v>23</v>
      </c>
      <c r="B225" s="42">
        <v>12213622</v>
      </c>
      <c r="C225" s="42" t="s">
        <v>9</v>
      </c>
      <c r="D225" s="42" t="s">
        <v>8</v>
      </c>
      <c r="E225" s="42">
        <v>6</v>
      </c>
      <c r="F225" s="42" t="s">
        <v>19</v>
      </c>
      <c r="G225" s="41" t="s">
        <v>177</v>
      </c>
    </row>
    <row r="226" spans="1:7" x14ac:dyDescent="0.25">
      <c r="A226" s="42" t="s">
        <v>23</v>
      </c>
      <c r="B226" s="42">
        <v>12255286</v>
      </c>
      <c r="C226" s="42" t="s">
        <v>9</v>
      </c>
      <c r="D226" s="42" t="s">
        <v>8</v>
      </c>
      <c r="E226" s="42">
        <v>6</v>
      </c>
      <c r="F226" s="42" t="s">
        <v>19</v>
      </c>
      <c r="G226" s="41" t="s">
        <v>178</v>
      </c>
    </row>
    <row r="227" spans="1:7" x14ac:dyDescent="0.25">
      <c r="A227" s="42" t="s">
        <v>23</v>
      </c>
      <c r="B227" s="42">
        <v>12283690</v>
      </c>
      <c r="C227" s="42" t="s">
        <v>9</v>
      </c>
      <c r="D227" s="42" t="s">
        <v>8</v>
      </c>
      <c r="E227" s="42">
        <v>6</v>
      </c>
      <c r="F227" s="42" t="s">
        <v>19</v>
      </c>
      <c r="G227" s="41" t="s">
        <v>209</v>
      </c>
    </row>
    <row r="228" spans="1:7" x14ac:dyDescent="0.25">
      <c r="A228" s="42" t="s">
        <v>23</v>
      </c>
      <c r="B228" s="42">
        <v>12293628</v>
      </c>
      <c r="C228" s="42" t="s">
        <v>9</v>
      </c>
      <c r="D228" s="42" t="s">
        <v>8</v>
      </c>
      <c r="E228" s="42">
        <v>6</v>
      </c>
      <c r="F228" s="42" t="s">
        <v>19</v>
      </c>
      <c r="G228" s="41" t="s">
        <v>247</v>
      </c>
    </row>
    <row r="229" spans="1:7" x14ac:dyDescent="0.25">
      <c r="A229" s="42" t="s">
        <v>23</v>
      </c>
      <c r="B229" s="42">
        <v>12287034</v>
      </c>
      <c r="C229" s="42" t="s">
        <v>9</v>
      </c>
      <c r="D229" s="42" t="s">
        <v>8</v>
      </c>
      <c r="E229" s="42">
        <v>6</v>
      </c>
      <c r="F229" s="42" t="s">
        <v>19</v>
      </c>
      <c r="G229" s="41" t="s">
        <v>251</v>
      </c>
    </row>
    <row r="230" spans="1:7" x14ac:dyDescent="0.25">
      <c r="A230" s="42" t="s">
        <v>23</v>
      </c>
      <c r="B230" s="42">
        <v>12207439</v>
      </c>
      <c r="C230" s="42" t="s">
        <v>9</v>
      </c>
      <c r="D230" s="42" t="s">
        <v>8</v>
      </c>
      <c r="E230" s="42">
        <v>6</v>
      </c>
      <c r="F230" s="42" t="s">
        <v>19</v>
      </c>
      <c r="G230" s="41" t="s">
        <v>264</v>
      </c>
    </row>
    <row r="231" spans="1:7" x14ac:dyDescent="0.25">
      <c r="A231" s="42" t="s">
        <v>75</v>
      </c>
      <c r="B231" s="42">
        <v>12313626</v>
      </c>
      <c r="C231" s="42" t="s">
        <v>9</v>
      </c>
      <c r="D231" s="42" t="s">
        <v>8</v>
      </c>
      <c r="E231" s="42">
        <v>2</v>
      </c>
      <c r="F231" s="42" t="s">
        <v>12</v>
      </c>
      <c r="G231" s="41" t="s">
        <v>266</v>
      </c>
    </row>
    <row r="232" spans="1:7" x14ac:dyDescent="0.25">
      <c r="A232" s="42" t="s">
        <v>75</v>
      </c>
      <c r="B232" s="42">
        <v>12329937</v>
      </c>
      <c r="C232" s="42" t="s">
        <v>9</v>
      </c>
      <c r="D232" s="42" t="s">
        <v>8</v>
      </c>
      <c r="E232" s="42">
        <v>2</v>
      </c>
      <c r="F232" s="42" t="s">
        <v>12</v>
      </c>
      <c r="G232" s="41" t="s">
        <v>465</v>
      </c>
    </row>
    <row r="233" spans="1:7" x14ac:dyDescent="0.25">
      <c r="A233" s="42" t="s">
        <v>119</v>
      </c>
      <c r="B233" s="42">
        <v>12329937</v>
      </c>
      <c r="C233" s="42" t="s">
        <v>24</v>
      </c>
      <c r="D233" s="42" t="s">
        <v>8</v>
      </c>
      <c r="E233" s="42">
        <v>2</v>
      </c>
      <c r="F233" s="42" t="s">
        <v>12</v>
      </c>
      <c r="G233" s="41" t="s">
        <v>465</v>
      </c>
    </row>
    <row r="234" spans="1:7" x14ac:dyDescent="0.25">
      <c r="A234" s="42" t="s">
        <v>75</v>
      </c>
      <c r="B234" s="42">
        <v>12345483</v>
      </c>
      <c r="C234" s="42" t="s">
        <v>9</v>
      </c>
      <c r="D234" s="42" t="s">
        <v>8</v>
      </c>
      <c r="E234" s="42">
        <v>2</v>
      </c>
      <c r="F234" s="42" t="s">
        <v>12</v>
      </c>
      <c r="G234" s="41" t="s">
        <v>795</v>
      </c>
    </row>
    <row r="235" spans="1:7" x14ac:dyDescent="0.25">
      <c r="A235" s="42" t="s">
        <v>75</v>
      </c>
      <c r="B235" s="42">
        <v>12345589</v>
      </c>
      <c r="C235" s="42" t="s">
        <v>9</v>
      </c>
      <c r="D235" s="42" t="s">
        <v>8</v>
      </c>
      <c r="E235" s="42">
        <v>2</v>
      </c>
      <c r="F235" s="42" t="s">
        <v>12</v>
      </c>
      <c r="G235" s="41" t="s">
        <v>796</v>
      </c>
    </row>
    <row r="236" spans="1:7" x14ac:dyDescent="0.25">
      <c r="A236" s="42" t="s">
        <v>75</v>
      </c>
      <c r="B236" s="42">
        <v>12346463</v>
      </c>
      <c r="C236" s="42" t="s">
        <v>9</v>
      </c>
      <c r="D236" s="42" t="s">
        <v>8</v>
      </c>
      <c r="E236" s="42">
        <v>2</v>
      </c>
      <c r="F236" s="42" t="s">
        <v>12</v>
      </c>
      <c r="G236" s="41" t="s">
        <v>797</v>
      </c>
    </row>
    <row r="237" spans="1:7" x14ac:dyDescent="0.25">
      <c r="A237" s="42" t="s">
        <v>75</v>
      </c>
      <c r="B237" s="42">
        <v>12347150</v>
      </c>
      <c r="C237" s="42" t="s">
        <v>9</v>
      </c>
      <c r="D237" s="42" t="s">
        <v>8</v>
      </c>
      <c r="E237" s="42">
        <v>2</v>
      </c>
      <c r="F237" s="42" t="s">
        <v>12</v>
      </c>
      <c r="G237" s="41" t="s">
        <v>798</v>
      </c>
    </row>
    <row r="238" spans="1:7" x14ac:dyDescent="0.25">
      <c r="A238" s="42" t="s">
        <v>75</v>
      </c>
      <c r="B238" s="42">
        <v>12348159</v>
      </c>
      <c r="C238" s="42" t="s">
        <v>9</v>
      </c>
      <c r="D238" s="42" t="s">
        <v>8</v>
      </c>
      <c r="E238" s="42">
        <v>2</v>
      </c>
      <c r="F238" s="42" t="s">
        <v>12</v>
      </c>
      <c r="G238" s="41" t="s">
        <v>799</v>
      </c>
    </row>
    <row r="239" spans="1:7" x14ac:dyDescent="0.25">
      <c r="A239" s="42" t="s">
        <v>75</v>
      </c>
      <c r="B239" s="42">
        <v>12348767</v>
      </c>
      <c r="C239" s="42" t="s">
        <v>9</v>
      </c>
      <c r="D239" s="42" t="s">
        <v>8</v>
      </c>
      <c r="E239" s="42">
        <v>2</v>
      </c>
      <c r="F239" s="42" t="s">
        <v>12</v>
      </c>
      <c r="G239" s="41" t="s">
        <v>800</v>
      </c>
    </row>
    <row r="240" spans="1:7" x14ac:dyDescent="0.25">
      <c r="A240" s="42" t="s">
        <v>75</v>
      </c>
      <c r="B240" s="42">
        <v>12349075</v>
      </c>
      <c r="C240" s="42" t="s">
        <v>9</v>
      </c>
      <c r="D240" s="42" t="s">
        <v>8</v>
      </c>
      <c r="E240" s="42">
        <v>2</v>
      </c>
      <c r="F240" s="42" t="s">
        <v>12</v>
      </c>
      <c r="G240" s="41" t="s">
        <v>801</v>
      </c>
    </row>
    <row r="241" spans="1:7" x14ac:dyDescent="0.25">
      <c r="A241" s="42" t="s">
        <v>75</v>
      </c>
      <c r="B241" s="42">
        <v>12349315</v>
      </c>
      <c r="C241" s="42" t="s">
        <v>9</v>
      </c>
      <c r="D241" s="42" t="s">
        <v>8</v>
      </c>
      <c r="E241" s="42">
        <v>2</v>
      </c>
      <c r="F241" s="42" t="s">
        <v>12</v>
      </c>
      <c r="G241" s="41" t="s">
        <v>802</v>
      </c>
    </row>
    <row r="242" spans="1:7" x14ac:dyDescent="0.25">
      <c r="A242" s="42" t="s">
        <v>75</v>
      </c>
      <c r="B242" s="42">
        <v>12350989</v>
      </c>
      <c r="C242" s="42" t="s">
        <v>9</v>
      </c>
      <c r="D242" s="42" t="s">
        <v>8</v>
      </c>
      <c r="E242" s="42">
        <v>2</v>
      </c>
      <c r="F242" s="42" t="s">
        <v>12</v>
      </c>
      <c r="G242" s="41" t="s">
        <v>803</v>
      </c>
    </row>
    <row r="243" spans="1:7" x14ac:dyDescent="0.25">
      <c r="A243" s="42" t="s">
        <v>75</v>
      </c>
      <c r="B243" s="42">
        <v>12352804</v>
      </c>
      <c r="C243" s="42" t="s">
        <v>9</v>
      </c>
      <c r="D243" s="42" t="s">
        <v>8</v>
      </c>
      <c r="E243" s="42">
        <v>2</v>
      </c>
      <c r="F243" s="42" t="s">
        <v>12</v>
      </c>
      <c r="G243" s="41" t="s">
        <v>804</v>
      </c>
    </row>
    <row r="244" spans="1:7" x14ac:dyDescent="0.25">
      <c r="A244" s="42" t="s">
        <v>75</v>
      </c>
      <c r="B244" s="42">
        <v>12353202</v>
      </c>
      <c r="C244" s="42" t="s">
        <v>9</v>
      </c>
      <c r="D244" s="42" t="s">
        <v>8</v>
      </c>
      <c r="E244" s="42">
        <v>2</v>
      </c>
      <c r="F244" s="42" t="s">
        <v>12</v>
      </c>
      <c r="G244" s="41" t="s">
        <v>805</v>
      </c>
    </row>
    <row r="245" spans="1:7" x14ac:dyDescent="0.25">
      <c r="A245" s="42" t="s">
        <v>75</v>
      </c>
      <c r="B245" s="42">
        <v>12353341</v>
      </c>
      <c r="C245" s="42" t="s">
        <v>9</v>
      </c>
      <c r="D245" s="42" t="s">
        <v>8</v>
      </c>
      <c r="E245" s="42">
        <v>2</v>
      </c>
      <c r="F245" s="42" t="s">
        <v>12</v>
      </c>
      <c r="G245" s="41" t="s">
        <v>806</v>
      </c>
    </row>
    <row r="246" spans="1:7" x14ac:dyDescent="0.25">
      <c r="A246" s="42" t="s">
        <v>75</v>
      </c>
      <c r="B246" s="42">
        <v>12353571</v>
      </c>
      <c r="C246" s="42" t="s">
        <v>9</v>
      </c>
      <c r="D246" s="42" t="s">
        <v>8</v>
      </c>
      <c r="E246" s="42">
        <v>2</v>
      </c>
      <c r="F246" s="42" t="s">
        <v>12</v>
      </c>
      <c r="G246" s="41" t="s">
        <v>807</v>
      </c>
    </row>
    <row r="247" spans="1:7" x14ac:dyDescent="0.25">
      <c r="A247" s="42" t="s">
        <v>75</v>
      </c>
      <c r="B247" s="42">
        <v>12353975</v>
      </c>
      <c r="C247" s="42" t="s">
        <v>9</v>
      </c>
      <c r="D247" s="42" t="s">
        <v>8</v>
      </c>
      <c r="E247" s="42">
        <v>2</v>
      </c>
      <c r="F247" s="42" t="s">
        <v>12</v>
      </c>
      <c r="G247" s="41" t="s">
        <v>808</v>
      </c>
    </row>
    <row r="248" spans="1:7" x14ac:dyDescent="0.25">
      <c r="A248" s="42" t="s">
        <v>22</v>
      </c>
      <c r="B248" s="42">
        <v>12345479</v>
      </c>
      <c r="C248" s="42" t="s">
        <v>9</v>
      </c>
      <c r="D248" s="42" t="s">
        <v>27</v>
      </c>
      <c r="E248" s="42">
        <v>2</v>
      </c>
      <c r="F248" s="42" t="s">
        <v>12</v>
      </c>
      <c r="G248" s="41" t="s">
        <v>809</v>
      </c>
    </row>
    <row r="249" spans="1:7" x14ac:dyDescent="0.25">
      <c r="A249" s="42" t="s">
        <v>22</v>
      </c>
      <c r="B249" s="42">
        <v>12348744</v>
      </c>
      <c r="C249" s="42" t="s">
        <v>9</v>
      </c>
      <c r="D249" s="42" t="s">
        <v>27</v>
      </c>
      <c r="E249" s="42">
        <v>2</v>
      </c>
      <c r="F249" s="42" t="s">
        <v>12</v>
      </c>
      <c r="G249" s="41" t="s">
        <v>810</v>
      </c>
    </row>
    <row r="250" spans="1:7" x14ac:dyDescent="0.25">
      <c r="A250" s="42" t="s">
        <v>22</v>
      </c>
      <c r="B250" s="42">
        <v>12348891</v>
      </c>
      <c r="C250" s="42" t="s">
        <v>9</v>
      </c>
      <c r="D250" s="42" t="s">
        <v>27</v>
      </c>
      <c r="E250" s="42">
        <v>2</v>
      </c>
      <c r="F250" s="42" t="s">
        <v>12</v>
      </c>
      <c r="G250" s="41" t="s">
        <v>811</v>
      </c>
    </row>
    <row r="251" spans="1:7" x14ac:dyDescent="0.25">
      <c r="A251" s="42" t="s">
        <v>22</v>
      </c>
      <c r="B251" s="42">
        <v>12349122</v>
      </c>
      <c r="C251" s="42" t="s">
        <v>9</v>
      </c>
      <c r="D251" s="42" t="s">
        <v>27</v>
      </c>
      <c r="E251" s="42">
        <v>2</v>
      </c>
      <c r="F251" s="42" t="s">
        <v>12</v>
      </c>
      <c r="G251" s="41" t="s">
        <v>812</v>
      </c>
    </row>
    <row r="252" spans="1:7" x14ac:dyDescent="0.25">
      <c r="A252" s="42" t="s">
        <v>22</v>
      </c>
      <c r="B252" s="42">
        <v>12349141</v>
      </c>
      <c r="C252" s="42" t="s">
        <v>9</v>
      </c>
      <c r="D252" s="42" t="s">
        <v>27</v>
      </c>
      <c r="E252" s="42">
        <v>2</v>
      </c>
      <c r="F252" s="42" t="s">
        <v>12</v>
      </c>
      <c r="G252" s="41" t="s">
        <v>813</v>
      </c>
    </row>
    <row r="253" spans="1:7" x14ac:dyDescent="0.25">
      <c r="A253" s="42" t="s">
        <v>22</v>
      </c>
      <c r="B253" s="42">
        <v>12337257</v>
      </c>
      <c r="C253" s="42" t="s">
        <v>9</v>
      </c>
      <c r="D253" s="42" t="s">
        <v>27</v>
      </c>
      <c r="E253" s="42">
        <v>2</v>
      </c>
      <c r="F253" s="42" t="s">
        <v>12</v>
      </c>
      <c r="G253" s="41" t="s">
        <v>568</v>
      </c>
    </row>
    <row r="254" spans="1:7" x14ac:dyDescent="0.25">
      <c r="A254" s="42" t="s">
        <v>22</v>
      </c>
      <c r="B254" s="42">
        <v>12325605</v>
      </c>
      <c r="C254" s="42" t="s">
        <v>24</v>
      </c>
      <c r="D254" s="42" t="s">
        <v>28</v>
      </c>
      <c r="E254" s="42">
        <v>2</v>
      </c>
      <c r="F254" s="42" t="s">
        <v>30</v>
      </c>
      <c r="G254" s="41" t="s">
        <v>575</v>
      </c>
    </row>
    <row r="255" spans="1:7" x14ac:dyDescent="0.25">
      <c r="A255" s="42" t="s">
        <v>22</v>
      </c>
      <c r="B255" s="42">
        <v>12336697</v>
      </c>
      <c r="C255" s="42" t="s">
        <v>24</v>
      </c>
      <c r="D255" s="42" t="s">
        <v>28</v>
      </c>
      <c r="E255" s="42">
        <v>2</v>
      </c>
      <c r="F255" s="42" t="s">
        <v>30</v>
      </c>
      <c r="G255" s="41" t="s">
        <v>814</v>
      </c>
    </row>
    <row r="256" spans="1:7" x14ac:dyDescent="0.25">
      <c r="A256" s="42" t="s">
        <v>22</v>
      </c>
      <c r="B256" s="42">
        <v>12346995</v>
      </c>
      <c r="C256" s="42" t="s">
        <v>24</v>
      </c>
      <c r="D256" s="42" t="s">
        <v>28</v>
      </c>
      <c r="E256" s="42">
        <v>2</v>
      </c>
      <c r="F256" s="42" t="s">
        <v>30</v>
      </c>
      <c r="G256" s="41" t="s">
        <v>815</v>
      </c>
    </row>
    <row r="257" spans="1:7" x14ac:dyDescent="0.25">
      <c r="A257" s="42" t="s">
        <v>16</v>
      </c>
      <c r="B257" s="42">
        <v>12342177</v>
      </c>
      <c r="C257" s="42" t="s">
        <v>9</v>
      </c>
      <c r="D257" s="42" t="s">
        <v>68</v>
      </c>
      <c r="E257" s="42">
        <v>2</v>
      </c>
      <c r="F257" s="42" t="s">
        <v>12</v>
      </c>
      <c r="G257" s="41" t="s">
        <v>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501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21" customWidth="1"/>
    <col min="2" max="2" width="12" style="21" customWidth="1"/>
    <col min="3" max="3" width="13" style="21" customWidth="1"/>
    <col min="4" max="4" width="23.7109375" style="21" bestFit="1" customWidth="1"/>
    <col min="5" max="7" width="13" style="22" customWidth="1"/>
    <col min="8" max="10" width="13" style="21" customWidth="1"/>
    <col min="11" max="11" width="19.140625" style="21" bestFit="1" customWidth="1"/>
    <col min="12" max="12" width="23.7109375" style="21" bestFit="1" customWidth="1"/>
    <col min="13" max="13" width="49.5703125" style="21" bestFit="1" customWidth="1"/>
    <col min="14" max="14" width="28.85546875" style="21" bestFit="1" customWidth="1"/>
    <col min="15" max="15" width="33.5703125" style="21" customWidth="1"/>
    <col min="16" max="16" width="5.85546875" style="21" customWidth="1"/>
    <col min="17" max="17" width="53.42578125" style="21" customWidth="1"/>
    <col min="18" max="18" width="11" style="21" customWidth="1"/>
    <col min="19" max="19" width="13.7109375" style="21" bestFit="1" customWidth="1"/>
    <col min="20" max="16384" width="9.140625" style="21"/>
  </cols>
  <sheetData>
    <row r="1" spans="1:19" x14ac:dyDescent="0.25">
      <c r="A1" s="33" t="s">
        <v>0</v>
      </c>
      <c r="B1" s="33" t="s">
        <v>1</v>
      </c>
      <c r="C1" s="33" t="s">
        <v>2</v>
      </c>
      <c r="D1" s="33" t="s">
        <v>34</v>
      </c>
      <c r="E1" s="13" t="s">
        <v>35</v>
      </c>
      <c r="F1" s="30" t="s">
        <v>74</v>
      </c>
      <c r="G1" s="30" t="s">
        <v>36</v>
      </c>
      <c r="H1" s="33" t="s">
        <v>37</v>
      </c>
      <c r="I1" s="33" t="s">
        <v>38</v>
      </c>
      <c r="J1" s="33" t="s">
        <v>39</v>
      </c>
      <c r="K1" s="37" t="s">
        <v>40</v>
      </c>
      <c r="L1" s="37" t="s">
        <v>41</v>
      </c>
      <c r="M1" s="37" t="s">
        <v>42</v>
      </c>
      <c r="N1" s="37" t="s">
        <v>43</v>
      </c>
      <c r="O1" s="33" t="s">
        <v>3</v>
      </c>
      <c r="P1" s="33" t="s">
        <v>4</v>
      </c>
      <c r="Q1" s="33" t="s">
        <v>5</v>
      </c>
      <c r="R1" s="33" t="s">
        <v>6</v>
      </c>
      <c r="S1" s="33" t="s">
        <v>78</v>
      </c>
    </row>
    <row r="2" spans="1:19" x14ac:dyDescent="0.25">
      <c r="A2" s="34" t="s">
        <v>15</v>
      </c>
      <c r="B2" s="34">
        <v>11854248</v>
      </c>
      <c r="C2" s="34" t="s">
        <v>7</v>
      </c>
      <c r="D2" s="34" t="s">
        <v>62</v>
      </c>
      <c r="E2" s="8">
        <v>44600.439583333333</v>
      </c>
      <c r="F2" s="31">
        <v>44607</v>
      </c>
      <c r="G2" s="31">
        <v>44652</v>
      </c>
      <c r="H2" s="36">
        <v>38</v>
      </c>
      <c r="I2" s="34" t="s">
        <v>70</v>
      </c>
      <c r="J2" s="34" t="s">
        <v>71</v>
      </c>
      <c r="K2" s="36" t="s">
        <v>15</v>
      </c>
      <c r="L2" s="36" t="s">
        <v>44</v>
      </c>
      <c r="M2" s="36" t="s">
        <v>45</v>
      </c>
      <c r="N2" s="36" t="s">
        <v>117</v>
      </c>
      <c r="O2" s="34" t="s">
        <v>8</v>
      </c>
      <c r="P2" s="34">
        <v>2</v>
      </c>
      <c r="Q2" s="34" t="s">
        <v>12</v>
      </c>
      <c r="R2" s="34" t="s">
        <v>25</v>
      </c>
      <c r="S2" s="38" t="str">
        <f>IF($A2="","",$A2)</f>
        <v>bquirogan</v>
      </c>
    </row>
    <row r="3" spans="1:19" x14ac:dyDescent="0.25">
      <c r="A3" s="34" t="s">
        <v>21</v>
      </c>
      <c r="B3" s="34">
        <v>12145878</v>
      </c>
      <c r="C3" s="34" t="s">
        <v>14</v>
      </c>
      <c r="D3" s="34" t="s">
        <v>77</v>
      </c>
      <c r="E3" s="8">
        <v>44629</v>
      </c>
      <c r="F3" s="31">
        <v>44636</v>
      </c>
      <c r="G3" s="31">
        <v>44652</v>
      </c>
      <c r="H3" s="36">
        <v>17</v>
      </c>
      <c r="I3" s="34" t="s">
        <v>72</v>
      </c>
      <c r="J3" s="34" t="s">
        <v>71</v>
      </c>
      <c r="K3" s="36" t="s">
        <v>17</v>
      </c>
      <c r="L3" s="36" t="s">
        <v>44</v>
      </c>
      <c r="M3" s="36" t="s">
        <v>49</v>
      </c>
      <c r="N3" s="36" t="s">
        <v>117</v>
      </c>
      <c r="O3" s="34" t="s">
        <v>8</v>
      </c>
      <c r="P3" s="34">
        <v>7</v>
      </c>
      <c r="Q3" s="34" t="s">
        <v>20</v>
      </c>
      <c r="R3" s="34" t="s">
        <v>395</v>
      </c>
      <c r="S3" s="38" t="str">
        <f t="shared" ref="S3:S66" si="0">IF($A3="","",$A3)</f>
        <v>jlramirez</v>
      </c>
    </row>
    <row r="4" spans="1:19" x14ac:dyDescent="0.25">
      <c r="A4" s="34" t="s">
        <v>21</v>
      </c>
      <c r="B4" s="34">
        <v>12141454</v>
      </c>
      <c r="C4" s="34" t="s">
        <v>14</v>
      </c>
      <c r="D4" s="34" t="s">
        <v>67</v>
      </c>
      <c r="E4" s="8">
        <v>44629</v>
      </c>
      <c r="F4" s="31">
        <v>44636</v>
      </c>
      <c r="G4" s="31">
        <v>44652</v>
      </c>
      <c r="H4" s="36">
        <v>17</v>
      </c>
      <c r="I4" s="34" t="s">
        <v>72</v>
      </c>
      <c r="J4" s="34" t="s">
        <v>71</v>
      </c>
      <c r="K4" s="36" t="s">
        <v>17</v>
      </c>
      <c r="L4" s="36" t="s">
        <v>44</v>
      </c>
      <c r="M4" s="36" t="s">
        <v>49</v>
      </c>
      <c r="N4" s="36" t="s">
        <v>117</v>
      </c>
      <c r="O4" s="34" t="s">
        <v>8</v>
      </c>
      <c r="P4" s="34">
        <v>7</v>
      </c>
      <c r="Q4" s="34" t="s">
        <v>20</v>
      </c>
      <c r="R4" s="34" t="s">
        <v>475</v>
      </c>
      <c r="S4" s="38" t="str">
        <f t="shared" si="0"/>
        <v>jlramirez</v>
      </c>
    </row>
    <row r="5" spans="1:19" x14ac:dyDescent="0.25">
      <c r="A5" s="34" t="s">
        <v>21</v>
      </c>
      <c r="B5" s="34">
        <v>12149800</v>
      </c>
      <c r="C5" s="34" t="s">
        <v>14</v>
      </c>
      <c r="D5" s="34" t="s">
        <v>110</v>
      </c>
      <c r="E5" s="8">
        <v>44630</v>
      </c>
      <c r="F5" s="31">
        <v>44637</v>
      </c>
      <c r="G5" s="31">
        <v>44652</v>
      </c>
      <c r="H5" s="36">
        <v>16</v>
      </c>
      <c r="I5" s="34" t="s">
        <v>72</v>
      </c>
      <c r="J5" s="34" t="s">
        <v>71</v>
      </c>
      <c r="K5" s="36" t="s">
        <v>17</v>
      </c>
      <c r="L5" s="36" t="s">
        <v>44</v>
      </c>
      <c r="M5" s="36" t="s">
        <v>49</v>
      </c>
      <c r="N5" s="36" t="s">
        <v>117</v>
      </c>
      <c r="O5" s="34" t="s">
        <v>8</v>
      </c>
      <c r="P5" s="34">
        <v>7</v>
      </c>
      <c r="Q5" s="34" t="s">
        <v>20</v>
      </c>
      <c r="R5" s="34" t="s">
        <v>474</v>
      </c>
      <c r="S5" s="38" t="str">
        <f t="shared" si="0"/>
        <v>jlramirez</v>
      </c>
    </row>
    <row r="6" spans="1:19" x14ac:dyDescent="0.25">
      <c r="A6" s="34" t="s">
        <v>137</v>
      </c>
      <c r="B6" s="34">
        <v>12152695</v>
      </c>
      <c r="C6" s="34" t="s">
        <v>14</v>
      </c>
      <c r="D6" s="34" t="s">
        <v>112</v>
      </c>
      <c r="E6" s="8">
        <v>44630</v>
      </c>
      <c r="F6" s="31">
        <v>44637</v>
      </c>
      <c r="G6" s="31">
        <v>44652</v>
      </c>
      <c r="H6" s="36">
        <v>16</v>
      </c>
      <c r="I6" s="34" t="s">
        <v>72</v>
      </c>
      <c r="J6" s="34" t="s">
        <v>71</v>
      </c>
      <c r="K6" s="36" t="s">
        <v>17</v>
      </c>
      <c r="L6" s="36" t="s">
        <v>44</v>
      </c>
      <c r="M6" s="36" t="s">
        <v>49</v>
      </c>
      <c r="N6" s="36" t="s">
        <v>117</v>
      </c>
      <c r="O6" s="34" t="s">
        <v>8</v>
      </c>
      <c r="P6" s="34">
        <v>7</v>
      </c>
      <c r="Q6" s="34" t="s">
        <v>20</v>
      </c>
      <c r="R6" s="34" t="s">
        <v>503</v>
      </c>
      <c r="S6" s="38" t="str">
        <f t="shared" si="0"/>
        <v>lsuareza</v>
      </c>
    </row>
    <row r="7" spans="1:19" x14ac:dyDescent="0.25">
      <c r="A7" s="34" t="s">
        <v>23</v>
      </c>
      <c r="B7" s="34">
        <v>12149846</v>
      </c>
      <c r="C7" s="34" t="s">
        <v>9</v>
      </c>
      <c r="D7" s="34" t="s">
        <v>111</v>
      </c>
      <c r="E7" s="8">
        <v>44630</v>
      </c>
      <c r="F7" s="31">
        <v>44637</v>
      </c>
      <c r="G7" s="31">
        <v>44652</v>
      </c>
      <c r="H7" s="36">
        <v>16</v>
      </c>
      <c r="I7" s="34" t="s">
        <v>72</v>
      </c>
      <c r="J7" s="34" t="s">
        <v>71</v>
      </c>
      <c r="K7" s="36" t="s">
        <v>15</v>
      </c>
      <c r="L7" s="36" t="s">
        <v>44</v>
      </c>
      <c r="M7" s="36" t="s">
        <v>50</v>
      </c>
      <c r="N7" s="36" t="s">
        <v>117</v>
      </c>
      <c r="O7" s="34" t="s">
        <v>8</v>
      </c>
      <c r="P7" s="34">
        <v>6</v>
      </c>
      <c r="Q7" s="34" t="s">
        <v>19</v>
      </c>
      <c r="R7" s="34" t="s">
        <v>138</v>
      </c>
      <c r="S7" s="38" t="str">
        <f t="shared" si="0"/>
        <v>pgcastillo</v>
      </c>
    </row>
    <row r="8" spans="1:19" x14ac:dyDescent="0.25">
      <c r="A8" s="34" t="s">
        <v>15</v>
      </c>
      <c r="B8" s="34">
        <v>12153374</v>
      </c>
      <c r="C8" s="34" t="s">
        <v>7</v>
      </c>
      <c r="D8" s="34" t="s">
        <v>113</v>
      </c>
      <c r="E8" s="8">
        <v>44630</v>
      </c>
      <c r="F8" s="31">
        <v>44637</v>
      </c>
      <c r="G8" s="31">
        <v>44652</v>
      </c>
      <c r="H8" s="36">
        <v>16</v>
      </c>
      <c r="I8" s="34" t="s">
        <v>72</v>
      </c>
      <c r="J8" s="34" t="s">
        <v>71</v>
      </c>
      <c r="K8" s="36" t="s">
        <v>15</v>
      </c>
      <c r="L8" s="36" t="s">
        <v>44</v>
      </c>
      <c r="M8" s="36" t="s">
        <v>47</v>
      </c>
      <c r="N8" s="36" t="s">
        <v>117</v>
      </c>
      <c r="O8" s="34" t="s">
        <v>8</v>
      </c>
      <c r="P8" s="34">
        <v>2</v>
      </c>
      <c r="Q8" s="34" t="s">
        <v>12</v>
      </c>
      <c r="R8" s="34" t="s">
        <v>132</v>
      </c>
      <c r="S8" s="38" t="str">
        <f t="shared" si="0"/>
        <v>bquirogan</v>
      </c>
    </row>
    <row r="9" spans="1:19" x14ac:dyDescent="0.25">
      <c r="A9" s="34" t="s">
        <v>17</v>
      </c>
      <c r="B9" s="34">
        <v>12176840</v>
      </c>
      <c r="C9" s="34" t="s">
        <v>7</v>
      </c>
      <c r="D9" s="34" t="s">
        <v>120</v>
      </c>
      <c r="E9" s="8">
        <v>44631</v>
      </c>
      <c r="F9" s="31">
        <v>44638</v>
      </c>
      <c r="G9" s="31">
        <v>44652</v>
      </c>
      <c r="H9" s="36">
        <v>15</v>
      </c>
      <c r="I9" s="34" t="s">
        <v>72</v>
      </c>
      <c r="J9" s="34" t="s">
        <v>71</v>
      </c>
      <c r="K9" s="36" t="s">
        <v>17</v>
      </c>
      <c r="L9" s="36" t="s">
        <v>44</v>
      </c>
      <c r="M9" s="36" t="s">
        <v>66</v>
      </c>
      <c r="N9" s="36" t="s">
        <v>117</v>
      </c>
      <c r="O9" s="34" t="s">
        <v>8</v>
      </c>
      <c r="P9" s="34">
        <v>5</v>
      </c>
      <c r="Q9" s="34" t="s">
        <v>10</v>
      </c>
      <c r="R9" s="34" t="s">
        <v>349</v>
      </c>
      <c r="S9" s="38" t="str">
        <f t="shared" si="0"/>
        <v>jjleon</v>
      </c>
    </row>
    <row r="10" spans="1:19" x14ac:dyDescent="0.25">
      <c r="A10" s="34" t="s">
        <v>15</v>
      </c>
      <c r="B10" s="34">
        <v>12196873</v>
      </c>
      <c r="C10" s="34" t="s">
        <v>9</v>
      </c>
      <c r="D10" s="34" t="s">
        <v>133</v>
      </c>
      <c r="E10" s="8">
        <v>44635</v>
      </c>
      <c r="F10" s="31">
        <v>44643</v>
      </c>
      <c r="G10" s="31">
        <v>44652</v>
      </c>
      <c r="H10" s="36">
        <v>13</v>
      </c>
      <c r="I10" s="34" t="s">
        <v>72</v>
      </c>
      <c r="J10" s="34" t="s">
        <v>71</v>
      </c>
      <c r="K10" s="36" t="s">
        <v>15</v>
      </c>
      <c r="L10" s="36" t="s">
        <v>44</v>
      </c>
      <c r="M10" s="36" t="s">
        <v>49</v>
      </c>
      <c r="N10" s="36" t="s">
        <v>117</v>
      </c>
      <c r="O10" s="34" t="s">
        <v>26</v>
      </c>
      <c r="P10" s="34">
        <v>10</v>
      </c>
      <c r="Q10" s="34" t="s">
        <v>20</v>
      </c>
      <c r="R10" s="34" t="s">
        <v>150</v>
      </c>
      <c r="S10" s="38" t="str">
        <f t="shared" si="0"/>
        <v>bquirogan</v>
      </c>
    </row>
    <row r="11" spans="1:19" x14ac:dyDescent="0.25">
      <c r="A11" s="34" t="s">
        <v>137</v>
      </c>
      <c r="B11" s="34">
        <v>12207620</v>
      </c>
      <c r="C11" s="34" t="s">
        <v>14</v>
      </c>
      <c r="D11" s="34" t="s">
        <v>141</v>
      </c>
      <c r="E11" s="8">
        <v>44636</v>
      </c>
      <c r="F11" s="31">
        <v>44644</v>
      </c>
      <c r="G11" s="31">
        <v>44652</v>
      </c>
      <c r="H11" s="36">
        <v>12</v>
      </c>
      <c r="I11" s="34" t="s">
        <v>72</v>
      </c>
      <c r="J11" s="34" t="s">
        <v>71</v>
      </c>
      <c r="K11" s="36" t="s">
        <v>23</v>
      </c>
      <c r="L11" s="36" t="s">
        <v>44</v>
      </c>
      <c r="M11" s="36" t="s">
        <v>49</v>
      </c>
      <c r="N11" s="36" t="s">
        <v>117</v>
      </c>
      <c r="O11" s="34" t="s">
        <v>8</v>
      </c>
      <c r="P11" s="34">
        <v>7</v>
      </c>
      <c r="Q11" s="34" t="s">
        <v>20</v>
      </c>
      <c r="R11" s="34" t="s">
        <v>502</v>
      </c>
      <c r="S11" s="38" t="str">
        <f t="shared" si="0"/>
        <v>lsuareza</v>
      </c>
    </row>
    <row r="12" spans="1:19" x14ac:dyDescent="0.25">
      <c r="A12" s="34" t="s">
        <v>17</v>
      </c>
      <c r="B12" s="34">
        <v>12222630</v>
      </c>
      <c r="C12" s="34" t="s">
        <v>9</v>
      </c>
      <c r="D12" s="34" t="s">
        <v>144</v>
      </c>
      <c r="E12" s="8">
        <v>44637</v>
      </c>
      <c r="F12" s="31">
        <v>44645</v>
      </c>
      <c r="G12" s="31">
        <v>44652</v>
      </c>
      <c r="H12" s="36">
        <v>11</v>
      </c>
      <c r="I12" s="34" t="s">
        <v>72</v>
      </c>
      <c r="J12" s="34" t="s">
        <v>71</v>
      </c>
      <c r="K12" s="36" t="s">
        <v>17</v>
      </c>
      <c r="L12" s="36" t="s">
        <v>44</v>
      </c>
      <c r="M12" s="36" t="s">
        <v>49</v>
      </c>
      <c r="N12" s="36" t="s">
        <v>117</v>
      </c>
      <c r="O12" s="34" t="s">
        <v>26</v>
      </c>
      <c r="P12" s="34">
        <v>10</v>
      </c>
      <c r="Q12" s="34" t="s">
        <v>20</v>
      </c>
      <c r="R12" s="34" t="s">
        <v>451</v>
      </c>
      <c r="S12" s="38" t="str">
        <f t="shared" si="0"/>
        <v>jjleon</v>
      </c>
    </row>
    <row r="13" spans="1:19" x14ac:dyDescent="0.25">
      <c r="A13" s="34" t="s">
        <v>17</v>
      </c>
      <c r="B13" s="34">
        <v>12220948</v>
      </c>
      <c r="C13" s="34" t="s">
        <v>9</v>
      </c>
      <c r="D13" s="34" t="s">
        <v>145</v>
      </c>
      <c r="E13" s="8">
        <v>44637</v>
      </c>
      <c r="F13" s="31">
        <v>44645</v>
      </c>
      <c r="G13" s="31">
        <v>44652</v>
      </c>
      <c r="H13" s="36">
        <v>11</v>
      </c>
      <c r="I13" s="34" t="s">
        <v>72</v>
      </c>
      <c r="J13" s="34" t="s">
        <v>71</v>
      </c>
      <c r="K13" s="36" t="s">
        <v>17</v>
      </c>
      <c r="L13" s="36" t="s">
        <v>44</v>
      </c>
      <c r="M13" s="36" t="s">
        <v>49</v>
      </c>
      <c r="N13" s="36" t="s">
        <v>117</v>
      </c>
      <c r="O13" s="34" t="s">
        <v>8</v>
      </c>
      <c r="P13" s="34">
        <v>7</v>
      </c>
      <c r="Q13" s="34" t="s">
        <v>20</v>
      </c>
      <c r="R13" s="34" t="s">
        <v>529</v>
      </c>
      <c r="S13" s="38" t="str">
        <f t="shared" si="0"/>
        <v>jjleon</v>
      </c>
    </row>
    <row r="14" spans="1:19" x14ac:dyDescent="0.25">
      <c r="A14" s="34" t="s">
        <v>17</v>
      </c>
      <c r="B14" s="34">
        <v>12229378</v>
      </c>
      <c r="C14" s="34" t="s">
        <v>9</v>
      </c>
      <c r="D14" s="34" t="s">
        <v>148</v>
      </c>
      <c r="E14" s="8">
        <v>44641</v>
      </c>
      <c r="F14" s="31">
        <v>44648</v>
      </c>
      <c r="G14" s="31">
        <v>44652</v>
      </c>
      <c r="H14" s="36">
        <v>9</v>
      </c>
      <c r="I14" s="34" t="s">
        <v>72</v>
      </c>
      <c r="J14" s="34" t="s">
        <v>71</v>
      </c>
      <c r="K14" s="36" t="s">
        <v>17</v>
      </c>
      <c r="L14" s="36" t="s">
        <v>44</v>
      </c>
      <c r="M14" s="36" t="s">
        <v>49</v>
      </c>
      <c r="N14" s="36" t="s">
        <v>117</v>
      </c>
      <c r="O14" s="34" t="s">
        <v>26</v>
      </c>
      <c r="P14" s="34">
        <v>10</v>
      </c>
      <c r="Q14" s="34" t="s">
        <v>20</v>
      </c>
      <c r="R14" s="34" t="s">
        <v>338</v>
      </c>
      <c r="S14" s="38" t="str">
        <f t="shared" si="0"/>
        <v>jjleon</v>
      </c>
    </row>
    <row r="15" spans="1:19" x14ac:dyDescent="0.25">
      <c r="A15" s="34" t="s">
        <v>21</v>
      </c>
      <c r="B15" s="34">
        <v>12249673</v>
      </c>
      <c r="C15" s="34" t="s">
        <v>14</v>
      </c>
      <c r="D15" s="34" t="s">
        <v>153</v>
      </c>
      <c r="E15" s="8">
        <v>44642</v>
      </c>
      <c r="F15" s="31">
        <v>44649</v>
      </c>
      <c r="G15" s="31">
        <v>44652</v>
      </c>
      <c r="H15" s="36">
        <v>9</v>
      </c>
      <c r="I15" s="34" t="s">
        <v>72</v>
      </c>
      <c r="J15" s="34" t="s">
        <v>71</v>
      </c>
      <c r="K15" s="36" t="s">
        <v>15</v>
      </c>
      <c r="L15" s="36" t="s">
        <v>44</v>
      </c>
      <c r="M15" s="36" t="s">
        <v>49</v>
      </c>
      <c r="N15" s="36" t="s">
        <v>117</v>
      </c>
      <c r="O15" s="34" t="s">
        <v>8</v>
      </c>
      <c r="P15" s="34">
        <v>7</v>
      </c>
      <c r="Q15" s="34" t="s">
        <v>20</v>
      </c>
      <c r="R15" s="34" t="s">
        <v>381</v>
      </c>
      <c r="S15" s="38" t="str">
        <f t="shared" si="0"/>
        <v>jlramirez</v>
      </c>
    </row>
    <row r="16" spans="1:19" x14ac:dyDescent="0.25">
      <c r="A16" s="34" t="s">
        <v>21</v>
      </c>
      <c r="B16" s="34">
        <v>12248605</v>
      </c>
      <c r="C16" s="34" t="s">
        <v>14</v>
      </c>
      <c r="D16" s="34" t="s">
        <v>152</v>
      </c>
      <c r="E16" s="8">
        <v>44642</v>
      </c>
      <c r="F16" s="31">
        <v>44649</v>
      </c>
      <c r="G16" s="31">
        <v>44652</v>
      </c>
      <c r="H16" s="36">
        <v>9</v>
      </c>
      <c r="I16" s="34" t="s">
        <v>72</v>
      </c>
      <c r="J16" s="34" t="s">
        <v>71</v>
      </c>
      <c r="K16" s="36" t="s">
        <v>15</v>
      </c>
      <c r="L16" s="36" t="s">
        <v>44</v>
      </c>
      <c r="M16" s="36" t="s">
        <v>49</v>
      </c>
      <c r="N16" s="36" t="s">
        <v>117</v>
      </c>
      <c r="O16" s="34" t="s">
        <v>8</v>
      </c>
      <c r="P16" s="34">
        <v>7</v>
      </c>
      <c r="Q16" s="34" t="s">
        <v>20</v>
      </c>
      <c r="R16" s="34" t="s">
        <v>393</v>
      </c>
      <c r="S16" s="38" t="str">
        <f t="shared" si="0"/>
        <v>jlramirez</v>
      </c>
    </row>
    <row r="17" spans="1:19" x14ac:dyDescent="0.25">
      <c r="A17" s="34" t="s">
        <v>21</v>
      </c>
      <c r="B17" s="34">
        <v>12241960</v>
      </c>
      <c r="C17" s="34" t="s">
        <v>14</v>
      </c>
      <c r="D17" s="34" t="s">
        <v>156</v>
      </c>
      <c r="E17" s="8">
        <v>44642</v>
      </c>
      <c r="F17" s="31">
        <v>44649</v>
      </c>
      <c r="G17" s="31">
        <v>44652</v>
      </c>
      <c r="H17" s="36">
        <v>9</v>
      </c>
      <c r="I17" s="34" t="s">
        <v>72</v>
      </c>
      <c r="J17" s="34" t="s">
        <v>71</v>
      </c>
      <c r="K17" s="36" t="s">
        <v>15</v>
      </c>
      <c r="L17" s="36" t="s">
        <v>44</v>
      </c>
      <c r="M17" s="36" t="s">
        <v>49</v>
      </c>
      <c r="N17" s="36" t="s">
        <v>117</v>
      </c>
      <c r="O17" s="34" t="s">
        <v>8</v>
      </c>
      <c r="P17" s="34">
        <v>7</v>
      </c>
      <c r="Q17" s="34" t="s">
        <v>20</v>
      </c>
      <c r="R17" s="34" t="s">
        <v>473</v>
      </c>
      <c r="S17" s="38" t="str">
        <f t="shared" si="0"/>
        <v>jlramirez</v>
      </c>
    </row>
    <row r="18" spans="1:19" x14ac:dyDescent="0.25">
      <c r="A18" s="34" t="s">
        <v>21</v>
      </c>
      <c r="B18" s="34">
        <v>12247221</v>
      </c>
      <c r="C18" s="34" t="s">
        <v>14</v>
      </c>
      <c r="D18" s="34" t="s">
        <v>157</v>
      </c>
      <c r="E18" s="8">
        <v>44642</v>
      </c>
      <c r="F18" s="31">
        <v>44649</v>
      </c>
      <c r="G18" s="31">
        <v>44652</v>
      </c>
      <c r="H18" s="36">
        <v>9</v>
      </c>
      <c r="I18" s="34" t="s">
        <v>72</v>
      </c>
      <c r="J18" s="34" t="s">
        <v>71</v>
      </c>
      <c r="K18" s="36" t="s">
        <v>18</v>
      </c>
      <c r="L18" s="36" t="s">
        <v>44</v>
      </c>
      <c r="M18" s="36" t="s">
        <v>49</v>
      </c>
      <c r="N18" s="36" t="s">
        <v>117</v>
      </c>
      <c r="O18" s="34" t="s">
        <v>8</v>
      </c>
      <c r="P18" s="34">
        <v>7</v>
      </c>
      <c r="Q18" s="34" t="s">
        <v>20</v>
      </c>
      <c r="R18" s="34" t="s">
        <v>479</v>
      </c>
      <c r="S18" s="38" t="str">
        <f t="shared" si="0"/>
        <v>jlramirez</v>
      </c>
    </row>
    <row r="19" spans="1:19" x14ac:dyDescent="0.25">
      <c r="A19" s="34" t="s">
        <v>21</v>
      </c>
      <c r="B19" s="34">
        <v>12252735</v>
      </c>
      <c r="C19" s="34" t="s">
        <v>14</v>
      </c>
      <c r="D19" s="34" t="s">
        <v>155</v>
      </c>
      <c r="E19" s="8">
        <v>44642</v>
      </c>
      <c r="F19" s="31">
        <v>44649</v>
      </c>
      <c r="G19" s="31">
        <v>44652</v>
      </c>
      <c r="H19" s="36">
        <v>9</v>
      </c>
      <c r="I19" s="34" t="s">
        <v>72</v>
      </c>
      <c r="J19" s="34" t="s">
        <v>71</v>
      </c>
      <c r="K19" s="36" t="s">
        <v>15</v>
      </c>
      <c r="L19" s="36" t="s">
        <v>44</v>
      </c>
      <c r="M19" s="36" t="s">
        <v>49</v>
      </c>
      <c r="N19" s="36" t="s">
        <v>117</v>
      </c>
      <c r="O19" s="34" t="s">
        <v>8</v>
      </c>
      <c r="P19" s="34">
        <v>7</v>
      </c>
      <c r="Q19" s="34" t="s">
        <v>20</v>
      </c>
      <c r="R19" s="34" t="s">
        <v>490</v>
      </c>
      <c r="S19" s="38" t="str">
        <f t="shared" si="0"/>
        <v>jlramirez</v>
      </c>
    </row>
    <row r="20" spans="1:19" x14ac:dyDescent="0.25">
      <c r="A20" s="34" t="s">
        <v>137</v>
      </c>
      <c r="B20" s="34">
        <v>12247939</v>
      </c>
      <c r="C20" s="34" t="s">
        <v>14</v>
      </c>
      <c r="D20" s="34" t="s">
        <v>151</v>
      </c>
      <c r="E20" s="8">
        <v>44642</v>
      </c>
      <c r="F20" s="31">
        <v>44649</v>
      </c>
      <c r="G20" s="31">
        <v>44652</v>
      </c>
      <c r="H20" s="36">
        <v>9</v>
      </c>
      <c r="I20" s="34" t="s">
        <v>72</v>
      </c>
      <c r="J20" s="34" t="s">
        <v>71</v>
      </c>
      <c r="K20" s="36" t="s">
        <v>15</v>
      </c>
      <c r="L20" s="36" t="s">
        <v>44</v>
      </c>
      <c r="M20" s="36" t="s">
        <v>49</v>
      </c>
      <c r="N20" s="36" t="s">
        <v>117</v>
      </c>
      <c r="O20" s="34" t="s">
        <v>8</v>
      </c>
      <c r="P20" s="34">
        <v>7</v>
      </c>
      <c r="Q20" s="34" t="s">
        <v>20</v>
      </c>
      <c r="R20" s="34" t="s">
        <v>371</v>
      </c>
      <c r="S20" s="38" t="str">
        <f t="shared" si="0"/>
        <v>lsuareza</v>
      </c>
    </row>
    <row r="21" spans="1:19" x14ac:dyDescent="0.25">
      <c r="A21" s="34" t="s">
        <v>21</v>
      </c>
      <c r="B21" s="34">
        <v>12249914</v>
      </c>
      <c r="C21" s="34" t="s">
        <v>14</v>
      </c>
      <c r="D21" s="34" t="s">
        <v>154</v>
      </c>
      <c r="E21" s="8">
        <v>44642</v>
      </c>
      <c r="F21" s="31">
        <v>44649</v>
      </c>
      <c r="G21" s="31">
        <v>44652</v>
      </c>
      <c r="H21" s="36">
        <v>9</v>
      </c>
      <c r="I21" s="34" t="s">
        <v>72</v>
      </c>
      <c r="J21" s="34" t="s">
        <v>71</v>
      </c>
      <c r="K21" s="36" t="s">
        <v>15</v>
      </c>
      <c r="L21" s="36" t="s">
        <v>44</v>
      </c>
      <c r="M21" s="36" t="s">
        <v>49</v>
      </c>
      <c r="N21" s="36" t="s">
        <v>117</v>
      </c>
      <c r="O21" s="34" t="s">
        <v>8</v>
      </c>
      <c r="P21" s="34">
        <v>7</v>
      </c>
      <c r="Q21" s="34" t="s">
        <v>20</v>
      </c>
      <c r="R21" s="34" t="s">
        <v>363</v>
      </c>
      <c r="S21" s="38" t="str">
        <f t="shared" si="0"/>
        <v>jlramirez</v>
      </c>
    </row>
    <row r="22" spans="1:19" x14ac:dyDescent="0.25">
      <c r="A22" s="34" t="s">
        <v>17</v>
      </c>
      <c r="B22" s="34">
        <v>12256456</v>
      </c>
      <c r="C22" s="34" t="s">
        <v>9</v>
      </c>
      <c r="D22" s="34" t="s">
        <v>139</v>
      </c>
      <c r="E22" s="8">
        <v>44643</v>
      </c>
      <c r="F22" s="31">
        <v>44650</v>
      </c>
      <c r="G22" s="31">
        <v>44652</v>
      </c>
      <c r="H22" s="36">
        <v>8</v>
      </c>
      <c r="I22" s="34" t="s">
        <v>72</v>
      </c>
      <c r="J22" s="34" t="s">
        <v>71</v>
      </c>
      <c r="K22" s="36" t="s">
        <v>17</v>
      </c>
      <c r="L22" s="36" t="s">
        <v>44</v>
      </c>
      <c r="M22" s="36" t="s">
        <v>49</v>
      </c>
      <c r="N22" s="36" t="s">
        <v>117</v>
      </c>
      <c r="O22" s="34" t="s">
        <v>26</v>
      </c>
      <c r="P22" s="34">
        <v>10</v>
      </c>
      <c r="Q22" s="34" t="s">
        <v>20</v>
      </c>
      <c r="R22" s="34" t="s">
        <v>452</v>
      </c>
      <c r="S22" s="38" t="str">
        <f t="shared" si="0"/>
        <v>jjleon</v>
      </c>
    </row>
    <row r="23" spans="1:19" x14ac:dyDescent="0.25">
      <c r="A23" s="34" t="s">
        <v>17</v>
      </c>
      <c r="B23" s="34">
        <v>12263136</v>
      </c>
      <c r="C23" s="34" t="s">
        <v>9</v>
      </c>
      <c r="D23" s="34" t="s">
        <v>160</v>
      </c>
      <c r="E23" s="8">
        <v>44643</v>
      </c>
      <c r="F23" s="31">
        <v>44650</v>
      </c>
      <c r="G23" s="31">
        <v>44652</v>
      </c>
      <c r="H23" s="36">
        <v>8</v>
      </c>
      <c r="I23" s="34" t="s">
        <v>72</v>
      </c>
      <c r="J23" s="34" t="s">
        <v>71</v>
      </c>
      <c r="K23" s="36" t="s">
        <v>17</v>
      </c>
      <c r="L23" s="36" t="s">
        <v>44</v>
      </c>
      <c r="M23" s="36" t="s">
        <v>49</v>
      </c>
      <c r="N23" s="36" t="s">
        <v>117</v>
      </c>
      <c r="O23" s="34" t="s">
        <v>26</v>
      </c>
      <c r="P23" s="34">
        <v>10</v>
      </c>
      <c r="Q23" s="34" t="s">
        <v>20</v>
      </c>
      <c r="R23" s="34" t="s">
        <v>453</v>
      </c>
      <c r="S23" s="38" t="str">
        <f t="shared" si="0"/>
        <v>jjleon</v>
      </c>
    </row>
    <row r="24" spans="1:19" x14ac:dyDescent="0.25">
      <c r="A24" s="34" t="s">
        <v>15</v>
      </c>
      <c r="B24" s="34">
        <v>12255846</v>
      </c>
      <c r="C24" s="34" t="s">
        <v>9</v>
      </c>
      <c r="D24" s="34" t="s">
        <v>158</v>
      </c>
      <c r="E24" s="8">
        <v>44643</v>
      </c>
      <c r="F24" s="31">
        <v>44650</v>
      </c>
      <c r="G24" s="31">
        <v>44652</v>
      </c>
      <c r="H24" s="36">
        <v>8</v>
      </c>
      <c r="I24" s="34" t="s">
        <v>72</v>
      </c>
      <c r="J24" s="34" t="s">
        <v>71</v>
      </c>
      <c r="K24" s="36" t="s">
        <v>15</v>
      </c>
      <c r="L24" s="36" t="s">
        <v>44</v>
      </c>
      <c r="M24" s="36" t="s">
        <v>48</v>
      </c>
      <c r="N24" s="36" t="s">
        <v>117</v>
      </c>
      <c r="O24" s="34" t="s">
        <v>26</v>
      </c>
      <c r="P24" s="34">
        <v>8</v>
      </c>
      <c r="Q24" s="34" t="s">
        <v>131</v>
      </c>
      <c r="R24" s="34" t="s">
        <v>205</v>
      </c>
      <c r="S24" s="38" t="str">
        <f t="shared" si="0"/>
        <v>bquirogan</v>
      </c>
    </row>
    <row r="25" spans="1:19" x14ac:dyDescent="0.25">
      <c r="A25" s="34" t="s">
        <v>15</v>
      </c>
      <c r="B25" s="34">
        <v>12263073</v>
      </c>
      <c r="C25" s="34" t="s">
        <v>9</v>
      </c>
      <c r="D25" s="34" t="s">
        <v>159</v>
      </c>
      <c r="E25" s="8">
        <v>44643</v>
      </c>
      <c r="F25" s="31">
        <v>44650</v>
      </c>
      <c r="G25" s="31">
        <v>44652</v>
      </c>
      <c r="H25" s="36">
        <v>8</v>
      </c>
      <c r="I25" s="34" t="s">
        <v>72</v>
      </c>
      <c r="J25" s="34" t="s">
        <v>71</v>
      </c>
      <c r="K25" s="36" t="s">
        <v>15</v>
      </c>
      <c r="L25" s="36" t="s">
        <v>44</v>
      </c>
      <c r="M25" s="36" t="s">
        <v>48</v>
      </c>
      <c r="N25" s="36" t="s">
        <v>117</v>
      </c>
      <c r="O25" s="34" t="s">
        <v>26</v>
      </c>
      <c r="P25" s="34">
        <v>8</v>
      </c>
      <c r="Q25" s="34" t="s">
        <v>131</v>
      </c>
      <c r="R25" s="34" t="s">
        <v>206</v>
      </c>
      <c r="S25" s="38" t="str">
        <f t="shared" si="0"/>
        <v>bquirogan</v>
      </c>
    </row>
    <row r="26" spans="1:19" x14ac:dyDescent="0.25">
      <c r="A26" s="34" t="s">
        <v>21</v>
      </c>
      <c r="B26" s="34">
        <v>12262616</v>
      </c>
      <c r="C26" s="34" t="s">
        <v>14</v>
      </c>
      <c r="D26" s="34" t="s">
        <v>167</v>
      </c>
      <c r="E26" s="8">
        <v>44643</v>
      </c>
      <c r="F26" s="31">
        <v>44650</v>
      </c>
      <c r="G26" s="31">
        <v>44652</v>
      </c>
      <c r="H26" s="36">
        <v>8</v>
      </c>
      <c r="I26" s="34" t="s">
        <v>72</v>
      </c>
      <c r="J26" s="34" t="s">
        <v>71</v>
      </c>
      <c r="K26" s="36" t="s">
        <v>17</v>
      </c>
      <c r="L26" s="36" t="s">
        <v>44</v>
      </c>
      <c r="M26" s="36" t="s">
        <v>49</v>
      </c>
      <c r="N26" s="36" t="s">
        <v>117</v>
      </c>
      <c r="O26" s="34" t="s">
        <v>8</v>
      </c>
      <c r="P26" s="34">
        <v>7</v>
      </c>
      <c r="Q26" s="34" t="s">
        <v>20</v>
      </c>
      <c r="R26" s="34" t="s">
        <v>383</v>
      </c>
      <c r="S26" s="38" t="str">
        <f t="shared" si="0"/>
        <v>jlramirez</v>
      </c>
    </row>
    <row r="27" spans="1:19" x14ac:dyDescent="0.25">
      <c r="A27" s="34" t="s">
        <v>21</v>
      </c>
      <c r="B27" s="34">
        <v>12255867</v>
      </c>
      <c r="C27" s="34" t="s">
        <v>14</v>
      </c>
      <c r="D27" s="34" t="s">
        <v>164</v>
      </c>
      <c r="E27" s="8">
        <v>44643</v>
      </c>
      <c r="F27" s="31">
        <v>44650</v>
      </c>
      <c r="G27" s="31">
        <v>44652</v>
      </c>
      <c r="H27" s="36">
        <v>8</v>
      </c>
      <c r="I27" s="34" t="s">
        <v>72</v>
      </c>
      <c r="J27" s="34" t="s">
        <v>71</v>
      </c>
      <c r="K27" s="36" t="s">
        <v>23</v>
      </c>
      <c r="L27" s="36" t="s">
        <v>44</v>
      </c>
      <c r="M27" s="36" t="s">
        <v>49</v>
      </c>
      <c r="N27" s="36" t="s">
        <v>117</v>
      </c>
      <c r="O27" s="34" t="s">
        <v>8</v>
      </c>
      <c r="P27" s="34">
        <v>7</v>
      </c>
      <c r="Q27" s="34" t="s">
        <v>20</v>
      </c>
      <c r="R27" s="34" t="s">
        <v>386</v>
      </c>
      <c r="S27" s="38" t="str">
        <f t="shared" si="0"/>
        <v>jlramirez</v>
      </c>
    </row>
    <row r="28" spans="1:19" x14ac:dyDescent="0.25">
      <c r="A28" s="34" t="s">
        <v>21</v>
      </c>
      <c r="B28" s="34">
        <v>12260184</v>
      </c>
      <c r="C28" s="34" t="s">
        <v>14</v>
      </c>
      <c r="D28" s="34" t="s">
        <v>166</v>
      </c>
      <c r="E28" s="8">
        <v>44643</v>
      </c>
      <c r="F28" s="31">
        <v>44650</v>
      </c>
      <c r="G28" s="31">
        <v>44652</v>
      </c>
      <c r="H28" s="36">
        <v>8</v>
      </c>
      <c r="I28" s="34" t="s">
        <v>72</v>
      </c>
      <c r="J28" s="34" t="s">
        <v>71</v>
      </c>
      <c r="K28" s="36" t="s">
        <v>15</v>
      </c>
      <c r="L28" s="36" t="s">
        <v>44</v>
      </c>
      <c r="M28" s="36" t="s">
        <v>49</v>
      </c>
      <c r="N28" s="36" t="s">
        <v>117</v>
      </c>
      <c r="O28" s="34" t="s">
        <v>8</v>
      </c>
      <c r="P28" s="34">
        <v>7</v>
      </c>
      <c r="Q28" s="34" t="s">
        <v>20</v>
      </c>
      <c r="R28" s="34" t="s">
        <v>388</v>
      </c>
      <c r="S28" s="38" t="str">
        <f t="shared" si="0"/>
        <v>jlramirez</v>
      </c>
    </row>
    <row r="29" spans="1:19" x14ac:dyDescent="0.25">
      <c r="A29" s="34" t="s">
        <v>23</v>
      </c>
      <c r="B29" s="34">
        <v>12254912</v>
      </c>
      <c r="C29" s="34" t="s">
        <v>9</v>
      </c>
      <c r="D29" s="34" t="s">
        <v>161</v>
      </c>
      <c r="E29" s="8">
        <v>44643</v>
      </c>
      <c r="F29" s="31">
        <v>44650</v>
      </c>
      <c r="G29" s="31">
        <v>44652</v>
      </c>
      <c r="H29" s="36">
        <v>8</v>
      </c>
      <c r="I29" s="34" t="s">
        <v>72</v>
      </c>
      <c r="J29" s="34" t="s">
        <v>71</v>
      </c>
      <c r="K29" s="36" t="s">
        <v>15</v>
      </c>
      <c r="L29" s="36" t="s">
        <v>44</v>
      </c>
      <c r="M29" s="36" t="s">
        <v>50</v>
      </c>
      <c r="N29" s="36" t="s">
        <v>117</v>
      </c>
      <c r="O29" s="34" t="s">
        <v>8</v>
      </c>
      <c r="P29" s="34">
        <v>6</v>
      </c>
      <c r="Q29" s="34" t="s">
        <v>19</v>
      </c>
      <c r="R29" s="34" t="s">
        <v>540</v>
      </c>
      <c r="S29" s="38" t="str">
        <f t="shared" si="0"/>
        <v>pgcastillo</v>
      </c>
    </row>
    <row r="30" spans="1:19" x14ac:dyDescent="0.25">
      <c r="A30" s="34" t="s">
        <v>23</v>
      </c>
      <c r="B30" s="34">
        <v>12255286</v>
      </c>
      <c r="C30" s="34" t="s">
        <v>9</v>
      </c>
      <c r="D30" s="34" t="s">
        <v>162</v>
      </c>
      <c r="E30" s="8">
        <v>44643</v>
      </c>
      <c r="F30" s="31">
        <v>44650</v>
      </c>
      <c r="G30" s="31">
        <v>44652</v>
      </c>
      <c r="H30" s="36">
        <v>8</v>
      </c>
      <c r="I30" s="34" t="s">
        <v>72</v>
      </c>
      <c r="J30" s="34" t="s">
        <v>71</v>
      </c>
      <c r="K30" s="36" t="s">
        <v>23</v>
      </c>
      <c r="L30" s="36" t="s">
        <v>44</v>
      </c>
      <c r="M30" s="36" t="s">
        <v>50</v>
      </c>
      <c r="N30" s="36" t="s">
        <v>117</v>
      </c>
      <c r="O30" s="34" t="s">
        <v>8</v>
      </c>
      <c r="P30" s="34">
        <v>6</v>
      </c>
      <c r="Q30" s="34" t="s">
        <v>19</v>
      </c>
      <c r="R30" s="34" t="s">
        <v>178</v>
      </c>
      <c r="S30" s="38" t="str">
        <f t="shared" si="0"/>
        <v>pgcastillo</v>
      </c>
    </row>
    <row r="31" spans="1:19" x14ac:dyDescent="0.25">
      <c r="A31" s="34" t="s">
        <v>18</v>
      </c>
      <c r="B31" s="34">
        <v>12258476</v>
      </c>
      <c r="C31" s="34" t="s">
        <v>9</v>
      </c>
      <c r="D31" s="34" t="s">
        <v>165</v>
      </c>
      <c r="E31" s="8">
        <v>44643</v>
      </c>
      <c r="F31" s="31">
        <v>44650</v>
      </c>
      <c r="G31" s="31">
        <v>44652</v>
      </c>
      <c r="H31" s="36">
        <v>8</v>
      </c>
      <c r="I31" s="34" t="s">
        <v>72</v>
      </c>
      <c r="J31" s="34" t="s">
        <v>71</v>
      </c>
      <c r="K31" s="36" t="s">
        <v>17</v>
      </c>
      <c r="L31" s="36" t="s">
        <v>44</v>
      </c>
      <c r="M31" s="36" t="s">
        <v>50</v>
      </c>
      <c r="N31" s="36" t="s">
        <v>117</v>
      </c>
      <c r="O31" s="34" t="s">
        <v>8</v>
      </c>
      <c r="P31" s="34">
        <v>6</v>
      </c>
      <c r="Q31" s="34" t="s">
        <v>19</v>
      </c>
      <c r="R31" s="34" t="s">
        <v>362</v>
      </c>
      <c r="S31" s="38" t="str">
        <f t="shared" si="0"/>
        <v>caolarte</v>
      </c>
    </row>
    <row r="32" spans="1:19" x14ac:dyDescent="0.25">
      <c r="A32" s="34" t="s">
        <v>17</v>
      </c>
      <c r="B32" s="34">
        <v>12270922</v>
      </c>
      <c r="C32" s="34" t="s">
        <v>9</v>
      </c>
      <c r="D32" s="34" t="s">
        <v>169</v>
      </c>
      <c r="E32" s="8">
        <v>44644</v>
      </c>
      <c r="F32" s="31">
        <v>44651</v>
      </c>
      <c r="G32" s="31">
        <v>44652</v>
      </c>
      <c r="H32" s="36">
        <v>7</v>
      </c>
      <c r="I32" s="34" t="s">
        <v>72</v>
      </c>
      <c r="J32" s="34" t="s">
        <v>71</v>
      </c>
      <c r="K32" s="36" t="s">
        <v>17</v>
      </c>
      <c r="L32" s="36" t="s">
        <v>44</v>
      </c>
      <c r="M32" s="36" t="s">
        <v>47</v>
      </c>
      <c r="N32" s="36" t="s">
        <v>117</v>
      </c>
      <c r="O32" s="34" t="s">
        <v>26</v>
      </c>
      <c r="P32" s="34">
        <v>2</v>
      </c>
      <c r="Q32" s="34" t="s">
        <v>12</v>
      </c>
      <c r="R32" s="34" t="s">
        <v>168</v>
      </c>
      <c r="S32" s="38" t="str">
        <f t="shared" si="0"/>
        <v>jjleon</v>
      </c>
    </row>
    <row r="33" spans="1:19" x14ac:dyDescent="0.25">
      <c r="A33" s="34" t="s">
        <v>21</v>
      </c>
      <c r="B33" s="34">
        <v>12264940</v>
      </c>
      <c r="C33" s="34" t="s">
        <v>14</v>
      </c>
      <c r="D33" s="34" t="s">
        <v>173</v>
      </c>
      <c r="E33" s="8">
        <v>44644</v>
      </c>
      <c r="F33" s="31">
        <v>44651</v>
      </c>
      <c r="G33" s="31">
        <v>44652</v>
      </c>
      <c r="H33" s="36">
        <v>7</v>
      </c>
      <c r="I33" s="34" t="s">
        <v>72</v>
      </c>
      <c r="J33" s="34" t="s">
        <v>71</v>
      </c>
      <c r="K33" s="36" t="s">
        <v>23</v>
      </c>
      <c r="L33" s="36" t="s">
        <v>44</v>
      </c>
      <c r="M33" s="36" t="s">
        <v>49</v>
      </c>
      <c r="N33" s="36" t="s">
        <v>117</v>
      </c>
      <c r="O33" s="34" t="s">
        <v>8</v>
      </c>
      <c r="P33" s="34">
        <v>7</v>
      </c>
      <c r="Q33" s="34" t="s">
        <v>20</v>
      </c>
      <c r="R33" s="34" t="s">
        <v>478</v>
      </c>
      <c r="S33" s="38" t="str">
        <f t="shared" si="0"/>
        <v>jlramirez</v>
      </c>
    </row>
    <row r="34" spans="1:19" x14ac:dyDescent="0.25">
      <c r="A34" s="34" t="s">
        <v>21</v>
      </c>
      <c r="B34" s="34">
        <v>12270135</v>
      </c>
      <c r="C34" s="34" t="s">
        <v>14</v>
      </c>
      <c r="D34" s="34" t="s">
        <v>174</v>
      </c>
      <c r="E34" s="8">
        <v>44644</v>
      </c>
      <c r="F34" s="31">
        <v>44651</v>
      </c>
      <c r="G34" s="31">
        <v>44652</v>
      </c>
      <c r="H34" s="36">
        <v>7</v>
      </c>
      <c r="I34" s="34" t="s">
        <v>72</v>
      </c>
      <c r="J34" s="34" t="s">
        <v>71</v>
      </c>
      <c r="K34" s="36" t="s">
        <v>17</v>
      </c>
      <c r="L34" s="36" t="s">
        <v>44</v>
      </c>
      <c r="M34" s="36" t="s">
        <v>49</v>
      </c>
      <c r="N34" s="36" t="s">
        <v>117</v>
      </c>
      <c r="O34" s="34" t="s">
        <v>8</v>
      </c>
      <c r="P34" s="34">
        <v>7</v>
      </c>
      <c r="Q34" s="34" t="s">
        <v>20</v>
      </c>
      <c r="R34" s="34" t="s">
        <v>486</v>
      </c>
      <c r="S34" s="38" t="str">
        <f t="shared" si="0"/>
        <v>jlramirez</v>
      </c>
    </row>
    <row r="35" spans="1:19" x14ac:dyDescent="0.25">
      <c r="A35" s="34" t="s">
        <v>21</v>
      </c>
      <c r="B35" s="34">
        <v>12268754</v>
      </c>
      <c r="C35" s="34" t="s">
        <v>14</v>
      </c>
      <c r="D35" s="34" t="s">
        <v>171</v>
      </c>
      <c r="E35" s="8">
        <v>44644</v>
      </c>
      <c r="F35" s="31">
        <v>44651</v>
      </c>
      <c r="G35" s="31">
        <v>44652</v>
      </c>
      <c r="H35" s="36">
        <v>7</v>
      </c>
      <c r="I35" s="34" t="s">
        <v>72</v>
      </c>
      <c r="J35" s="34" t="s">
        <v>71</v>
      </c>
      <c r="K35" s="36" t="s">
        <v>15</v>
      </c>
      <c r="L35" s="36" t="s">
        <v>44</v>
      </c>
      <c r="M35" s="36" t="s">
        <v>49</v>
      </c>
      <c r="N35" s="36" t="s">
        <v>117</v>
      </c>
      <c r="O35" s="34" t="s">
        <v>8</v>
      </c>
      <c r="P35" s="34">
        <v>7</v>
      </c>
      <c r="Q35" s="34" t="s">
        <v>20</v>
      </c>
      <c r="R35" s="34" t="s">
        <v>494</v>
      </c>
      <c r="S35" s="38" t="str">
        <f t="shared" si="0"/>
        <v>jlramirez</v>
      </c>
    </row>
    <row r="36" spans="1:19" x14ac:dyDescent="0.25">
      <c r="A36" s="34" t="s">
        <v>15</v>
      </c>
      <c r="B36" s="34">
        <v>12269803</v>
      </c>
      <c r="C36" s="34" t="s">
        <v>7</v>
      </c>
      <c r="D36" s="34" t="s">
        <v>172</v>
      </c>
      <c r="E36" s="8">
        <v>44644</v>
      </c>
      <c r="F36" s="31">
        <v>44651</v>
      </c>
      <c r="G36" s="31">
        <v>44652</v>
      </c>
      <c r="H36" s="36">
        <v>7</v>
      </c>
      <c r="I36" s="34" t="s">
        <v>72</v>
      </c>
      <c r="J36" s="34" t="s">
        <v>71</v>
      </c>
      <c r="K36" s="36" t="s">
        <v>15</v>
      </c>
      <c r="L36" s="36" t="s">
        <v>44</v>
      </c>
      <c r="M36" s="36" t="s">
        <v>47</v>
      </c>
      <c r="N36" s="36" t="s">
        <v>117</v>
      </c>
      <c r="O36" s="34" t="s">
        <v>8</v>
      </c>
      <c r="P36" s="34">
        <v>2</v>
      </c>
      <c r="Q36" s="34" t="s">
        <v>12</v>
      </c>
      <c r="R36" s="34" t="s">
        <v>523</v>
      </c>
      <c r="S36" s="38" t="str">
        <f t="shared" si="0"/>
        <v>bquirogan</v>
      </c>
    </row>
    <row r="37" spans="1:19" x14ac:dyDescent="0.25">
      <c r="A37" s="34" t="s">
        <v>15</v>
      </c>
      <c r="B37" s="34">
        <v>12214968</v>
      </c>
      <c r="C37" s="34" t="s">
        <v>9</v>
      </c>
      <c r="D37" s="34" t="s">
        <v>170</v>
      </c>
      <c r="E37" s="8">
        <v>44644</v>
      </c>
      <c r="F37" s="31">
        <v>44651</v>
      </c>
      <c r="G37" s="31">
        <v>44652</v>
      </c>
      <c r="H37" s="36">
        <v>7</v>
      </c>
      <c r="I37" s="34" t="s">
        <v>72</v>
      </c>
      <c r="J37" s="34" t="s">
        <v>71</v>
      </c>
      <c r="K37" s="36" t="s">
        <v>23</v>
      </c>
      <c r="L37" s="36" t="s">
        <v>44</v>
      </c>
      <c r="M37" s="36" t="s">
        <v>66</v>
      </c>
      <c r="N37" s="36" t="s">
        <v>117</v>
      </c>
      <c r="O37" s="34" t="s">
        <v>8</v>
      </c>
      <c r="P37" s="34">
        <v>5</v>
      </c>
      <c r="Q37" s="34" t="s">
        <v>10</v>
      </c>
      <c r="R37" s="34" t="s">
        <v>356</v>
      </c>
      <c r="S37" s="38" t="str">
        <f t="shared" si="0"/>
        <v>bquirogan</v>
      </c>
    </row>
    <row r="38" spans="1:19" x14ac:dyDescent="0.25">
      <c r="A38" s="34" t="s">
        <v>15</v>
      </c>
      <c r="B38" s="34">
        <v>12285992</v>
      </c>
      <c r="C38" s="34" t="s">
        <v>9</v>
      </c>
      <c r="D38" s="34" t="s">
        <v>179</v>
      </c>
      <c r="E38" s="8">
        <v>44647</v>
      </c>
      <c r="F38" s="31">
        <v>44652</v>
      </c>
      <c r="G38" s="31">
        <v>44652</v>
      </c>
      <c r="H38" s="36">
        <v>5</v>
      </c>
      <c r="I38" s="34" t="s">
        <v>72</v>
      </c>
      <c r="J38" s="34" t="s">
        <v>71</v>
      </c>
      <c r="K38" s="36" t="s">
        <v>15</v>
      </c>
      <c r="L38" s="36" t="s">
        <v>44</v>
      </c>
      <c r="M38" s="36" t="s">
        <v>49</v>
      </c>
      <c r="N38" s="36" t="s">
        <v>117</v>
      </c>
      <c r="O38" s="34" t="s">
        <v>26</v>
      </c>
      <c r="P38" s="34">
        <v>10</v>
      </c>
      <c r="Q38" s="34" t="s">
        <v>20</v>
      </c>
      <c r="R38" s="34" t="s">
        <v>459</v>
      </c>
      <c r="S38" s="38" t="str">
        <f t="shared" si="0"/>
        <v>bquirogan</v>
      </c>
    </row>
    <row r="39" spans="1:19" x14ac:dyDescent="0.25">
      <c r="A39" s="34" t="s">
        <v>17</v>
      </c>
      <c r="B39" s="34">
        <v>12280291</v>
      </c>
      <c r="C39" s="34" t="s">
        <v>7</v>
      </c>
      <c r="D39" s="34" t="s">
        <v>189</v>
      </c>
      <c r="E39" s="8">
        <v>44647</v>
      </c>
      <c r="F39" s="31">
        <v>44652</v>
      </c>
      <c r="G39" s="31">
        <v>44652</v>
      </c>
      <c r="H39" s="36">
        <v>5</v>
      </c>
      <c r="I39" s="34" t="s">
        <v>72</v>
      </c>
      <c r="J39" s="34" t="s">
        <v>71</v>
      </c>
      <c r="K39" s="36" t="s">
        <v>17</v>
      </c>
      <c r="L39" s="36" t="s">
        <v>44</v>
      </c>
      <c r="M39" s="36" t="s">
        <v>66</v>
      </c>
      <c r="N39" s="36" t="s">
        <v>117</v>
      </c>
      <c r="O39" s="34" t="s">
        <v>8</v>
      </c>
      <c r="P39" s="34">
        <v>5</v>
      </c>
      <c r="Q39" s="34" t="s">
        <v>10</v>
      </c>
      <c r="R39" s="34" t="s">
        <v>208</v>
      </c>
      <c r="S39" s="38" t="str">
        <f t="shared" si="0"/>
        <v>jjleon</v>
      </c>
    </row>
    <row r="40" spans="1:19" x14ac:dyDescent="0.25">
      <c r="A40" s="34" t="s">
        <v>21</v>
      </c>
      <c r="B40" s="34">
        <v>12284842</v>
      </c>
      <c r="C40" s="34" t="s">
        <v>14</v>
      </c>
      <c r="D40" s="34" t="s">
        <v>194</v>
      </c>
      <c r="E40" s="8">
        <v>44647</v>
      </c>
      <c r="F40" s="31">
        <v>44652</v>
      </c>
      <c r="G40" s="31">
        <v>44652</v>
      </c>
      <c r="H40" s="36">
        <v>5</v>
      </c>
      <c r="I40" s="34" t="s">
        <v>72</v>
      </c>
      <c r="J40" s="34" t="s">
        <v>71</v>
      </c>
      <c r="K40" s="36" t="s">
        <v>23</v>
      </c>
      <c r="L40" s="36" t="s">
        <v>44</v>
      </c>
      <c r="M40" s="36" t="s">
        <v>49</v>
      </c>
      <c r="N40" s="36" t="s">
        <v>117</v>
      </c>
      <c r="O40" s="34" t="s">
        <v>8</v>
      </c>
      <c r="P40" s="34">
        <v>7</v>
      </c>
      <c r="Q40" s="34" t="s">
        <v>20</v>
      </c>
      <c r="R40" s="34" t="s">
        <v>476</v>
      </c>
      <c r="S40" s="38" t="str">
        <f t="shared" si="0"/>
        <v>jlramirez</v>
      </c>
    </row>
    <row r="41" spans="1:19" x14ac:dyDescent="0.25">
      <c r="A41" s="34" t="s">
        <v>21</v>
      </c>
      <c r="B41" s="34">
        <v>12285439</v>
      </c>
      <c r="C41" s="34" t="s">
        <v>14</v>
      </c>
      <c r="D41" s="34" t="s">
        <v>198</v>
      </c>
      <c r="E41" s="8">
        <v>44647</v>
      </c>
      <c r="F41" s="31">
        <v>44652</v>
      </c>
      <c r="G41" s="31">
        <v>44652</v>
      </c>
      <c r="H41" s="36">
        <v>5</v>
      </c>
      <c r="I41" s="34" t="s">
        <v>72</v>
      </c>
      <c r="J41" s="34" t="s">
        <v>71</v>
      </c>
      <c r="K41" s="36" t="s">
        <v>23</v>
      </c>
      <c r="L41" s="36" t="s">
        <v>44</v>
      </c>
      <c r="M41" s="36" t="s">
        <v>49</v>
      </c>
      <c r="N41" s="36" t="s">
        <v>117</v>
      </c>
      <c r="O41" s="34" t="s">
        <v>8</v>
      </c>
      <c r="P41" s="34">
        <v>7</v>
      </c>
      <c r="Q41" s="34" t="s">
        <v>20</v>
      </c>
      <c r="R41" s="34" t="s">
        <v>477</v>
      </c>
      <c r="S41" s="38" t="str">
        <f t="shared" si="0"/>
        <v>jlramirez</v>
      </c>
    </row>
    <row r="42" spans="1:19" x14ac:dyDescent="0.25">
      <c r="A42" s="34" t="s">
        <v>21</v>
      </c>
      <c r="B42" s="34">
        <v>12286036</v>
      </c>
      <c r="C42" s="34" t="s">
        <v>14</v>
      </c>
      <c r="D42" s="34" t="s">
        <v>184</v>
      </c>
      <c r="E42" s="8">
        <v>44647</v>
      </c>
      <c r="F42" s="31">
        <v>44652</v>
      </c>
      <c r="G42" s="31">
        <v>44652</v>
      </c>
      <c r="H42" s="36">
        <v>5</v>
      </c>
      <c r="I42" s="34" t="s">
        <v>72</v>
      </c>
      <c r="J42" s="34" t="s">
        <v>71</v>
      </c>
      <c r="K42" s="36" t="s">
        <v>23</v>
      </c>
      <c r="L42" s="36" t="s">
        <v>44</v>
      </c>
      <c r="M42" s="36" t="s">
        <v>49</v>
      </c>
      <c r="N42" s="36" t="s">
        <v>117</v>
      </c>
      <c r="O42" s="34" t="s">
        <v>8</v>
      </c>
      <c r="P42" s="34">
        <v>7</v>
      </c>
      <c r="Q42" s="34" t="s">
        <v>20</v>
      </c>
      <c r="R42" s="34" t="s">
        <v>482</v>
      </c>
      <c r="S42" s="38" t="str">
        <f t="shared" si="0"/>
        <v>jlramirez</v>
      </c>
    </row>
    <row r="43" spans="1:19" x14ac:dyDescent="0.25">
      <c r="A43" s="34" t="s">
        <v>21</v>
      </c>
      <c r="B43" s="34">
        <v>12279084</v>
      </c>
      <c r="C43" s="34" t="s">
        <v>14</v>
      </c>
      <c r="D43" s="34" t="s">
        <v>181</v>
      </c>
      <c r="E43" s="8">
        <v>44647</v>
      </c>
      <c r="F43" s="31">
        <v>44652</v>
      </c>
      <c r="G43" s="31">
        <v>44652</v>
      </c>
      <c r="H43" s="36">
        <v>5</v>
      </c>
      <c r="I43" s="34" t="s">
        <v>72</v>
      </c>
      <c r="J43" s="34" t="s">
        <v>71</v>
      </c>
      <c r="K43" s="36" t="s">
        <v>15</v>
      </c>
      <c r="L43" s="36" t="s">
        <v>44</v>
      </c>
      <c r="M43" s="36" t="s">
        <v>49</v>
      </c>
      <c r="N43" s="36" t="s">
        <v>117</v>
      </c>
      <c r="O43" s="34" t="s">
        <v>8</v>
      </c>
      <c r="P43" s="34">
        <v>7</v>
      </c>
      <c r="Q43" s="34" t="s">
        <v>20</v>
      </c>
      <c r="R43" s="34" t="s">
        <v>492</v>
      </c>
      <c r="S43" s="38" t="str">
        <f t="shared" si="0"/>
        <v>jlramirez</v>
      </c>
    </row>
    <row r="44" spans="1:19" x14ac:dyDescent="0.25">
      <c r="A44" s="34" t="s">
        <v>137</v>
      </c>
      <c r="B44" s="34">
        <v>12286976</v>
      </c>
      <c r="C44" s="34" t="s">
        <v>14</v>
      </c>
      <c r="D44" s="34" t="s">
        <v>200</v>
      </c>
      <c r="E44" s="8">
        <v>44647</v>
      </c>
      <c r="F44" s="31">
        <v>44652</v>
      </c>
      <c r="G44" s="31">
        <v>44652</v>
      </c>
      <c r="H44" s="36">
        <v>5</v>
      </c>
      <c r="I44" s="34" t="s">
        <v>72</v>
      </c>
      <c r="J44" s="34" t="s">
        <v>71</v>
      </c>
      <c r="K44" s="36" t="s">
        <v>15</v>
      </c>
      <c r="L44" s="36" t="s">
        <v>44</v>
      </c>
      <c r="M44" s="36" t="s">
        <v>49</v>
      </c>
      <c r="N44" s="36" t="s">
        <v>117</v>
      </c>
      <c r="O44" s="34" t="s">
        <v>8</v>
      </c>
      <c r="P44" s="34">
        <v>7</v>
      </c>
      <c r="Q44" s="34" t="s">
        <v>20</v>
      </c>
      <c r="R44" s="34" t="s">
        <v>367</v>
      </c>
      <c r="S44" s="38" t="str">
        <f t="shared" si="0"/>
        <v>lsuareza</v>
      </c>
    </row>
    <row r="45" spans="1:19" x14ac:dyDescent="0.25">
      <c r="A45" s="34" t="s">
        <v>137</v>
      </c>
      <c r="B45" s="34">
        <v>12282598</v>
      </c>
      <c r="C45" s="34" t="s">
        <v>14</v>
      </c>
      <c r="D45" s="34" t="s">
        <v>191</v>
      </c>
      <c r="E45" s="8">
        <v>44647</v>
      </c>
      <c r="F45" s="31">
        <v>44652</v>
      </c>
      <c r="G45" s="31">
        <v>44652</v>
      </c>
      <c r="H45" s="36">
        <v>5</v>
      </c>
      <c r="I45" s="34" t="s">
        <v>72</v>
      </c>
      <c r="J45" s="34" t="s">
        <v>71</v>
      </c>
      <c r="K45" s="36" t="s">
        <v>15</v>
      </c>
      <c r="L45" s="36" t="s">
        <v>44</v>
      </c>
      <c r="M45" s="36" t="s">
        <v>49</v>
      </c>
      <c r="N45" s="36" t="s">
        <v>117</v>
      </c>
      <c r="O45" s="34" t="s">
        <v>8</v>
      </c>
      <c r="P45" s="34">
        <v>7</v>
      </c>
      <c r="Q45" s="34" t="s">
        <v>20</v>
      </c>
      <c r="R45" s="34" t="s">
        <v>369</v>
      </c>
      <c r="S45" s="38" t="str">
        <f t="shared" si="0"/>
        <v>lsuareza</v>
      </c>
    </row>
    <row r="46" spans="1:19" x14ac:dyDescent="0.25">
      <c r="A46" s="34" t="s">
        <v>137</v>
      </c>
      <c r="B46" s="34">
        <v>12284961</v>
      </c>
      <c r="C46" s="34" t="s">
        <v>14</v>
      </c>
      <c r="D46" s="34" t="s">
        <v>196</v>
      </c>
      <c r="E46" s="8">
        <v>44647</v>
      </c>
      <c r="F46" s="31">
        <v>44652</v>
      </c>
      <c r="G46" s="31">
        <v>44652</v>
      </c>
      <c r="H46" s="36">
        <v>5</v>
      </c>
      <c r="I46" s="34" t="s">
        <v>72</v>
      </c>
      <c r="J46" s="34" t="s">
        <v>71</v>
      </c>
      <c r="K46" s="36" t="s">
        <v>15</v>
      </c>
      <c r="L46" s="36" t="s">
        <v>44</v>
      </c>
      <c r="M46" s="36" t="s">
        <v>49</v>
      </c>
      <c r="N46" s="36" t="s">
        <v>117</v>
      </c>
      <c r="O46" s="34" t="s">
        <v>8</v>
      </c>
      <c r="P46" s="34">
        <v>7</v>
      </c>
      <c r="Q46" s="34" t="s">
        <v>20</v>
      </c>
      <c r="R46" s="34" t="s">
        <v>373</v>
      </c>
      <c r="S46" s="38" t="str">
        <f t="shared" si="0"/>
        <v>lsuareza</v>
      </c>
    </row>
    <row r="47" spans="1:19" x14ac:dyDescent="0.25">
      <c r="A47" s="34" t="s">
        <v>137</v>
      </c>
      <c r="B47" s="34">
        <v>12279899</v>
      </c>
      <c r="C47" s="34" t="s">
        <v>14</v>
      </c>
      <c r="D47" s="34" t="s">
        <v>187</v>
      </c>
      <c r="E47" s="8">
        <v>44647</v>
      </c>
      <c r="F47" s="31">
        <v>44652</v>
      </c>
      <c r="G47" s="31">
        <v>44652</v>
      </c>
      <c r="H47" s="36">
        <v>5</v>
      </c>
      <c r="I47" s="34" t="s">
        <v>72</v>
      </c>
      <c r="J47" s="34" t="s">
        <v>71</v>
      </c>
      <c r="K47" s="36" t="s">
        <v>15</v>
      </c>
      <c r="L47" s="36" t="s">
        <v>44</v>
      </c>
      <c r="M47" s="36" t="s">
        <v>49</v>
      </c>
      <c r="N47" s="36" t="s">
        <v>117</v>
      </c>
      <c r="O47" s="34" t="s">
        <v>8</v>
      </c>
      <c r="P47" s="34">
        <v>7</v>
      </c>
      <c r="Q47" s="34" t="s">
        <v>20</v>
      </c>
      <c r="R47" s="34" t="s">
        <v>382</v>
      </c>
      <c r="S47" s="38" t="str">
        <f t="shared" si="0"/>
        <v>lsuareza</v>
      </c>
    </row>
    <row r="48" spans="1:19" x14ac:dyDescent="0.25">
      <c r="A48" s="34" t="s">
        <v>137</v>
      </c>
      <c r="B48" s="34">
        <v>12284638</v>
      </c>
      <c r="C48" s="34" t="s">
        <v>14</v>
      </c>
      <c r="D48" s="34" t="s">
        <v>193</v>
      </c>
      <c r="E48" s="8">
        <v>44647</v>
      </c>
      <c r="F48" s="31">
        <v>44652</v>
      </c>
      <c r="G48" s="31">
        <v>44652</v>
      </c>
      <c r="H48" s="36">
        <v>5</v>
      </c>
      <c r="I48" s="34" t="s">
        <v>72</v>
      </c>
      <c r="J48" s="34" t="s">
        <v>71</v>
      </c>
      <c r="K48" s="36" t="s">
        <v>15</v>
      </c>
      <c r="L48" s="36" t="s">
        <v>44</v>
      </c>
      <c r="M48" s="36" t="s">
        <v>49</v>
      </c>
      <c r="N48" s="36" t="s">
        <v>117</v>
      </c>
      <c r="O48" s="34" t="s">
        <v>8</v>
      </c>
      <c r="P48" s="34">
        <v>7</v>
      </c>
      <c r="Q48" s="34" t="s">
        <v>20</v>
      </c>
      <c r="R48" s="34" t="s">
        <v>385</v>
      </c>
      <c r="S48" s="38" t="str">
        <f t="shared" si="0"/>
        <v>lsuareza</v>
      </c>
    </row>
    <row r="49" spans="1:19" x14ac:dyDescent="0.25">
      <c r="A49" s="34" t="s">
        <v>137</v>
      </c>
      <c r="B49" s="34">
        <v>12285763</v>
      </c>
      <c r="C49" s="34" t="s">
        <v>14</v>
      </c>
      <c r="D49" s="34" t="s">
        <v>199</v>
      </c>
      <c r="E49" s="8">
        <v>44647</v>
      </c>
      <c r="F49" s="31">
        <v>44652</v>
      </c>
      <c r="G49" s="31">
        <v>44652</v>
      </c>
      <c r="H49" s="36">
        <v>5</v>
      </c>
      <c r="I49" s="34" t="s">
        <v>72</v>
      </c>
      <c r="J49" s="34" t="s">
        <v>71</v>
      </c>
      <c r="K49" s="36" t="s">
        <v>15</v>
      </c>
      <c r="L49" s="36" t="s">
        <v>44</v>
      </c>
      <c r="M49" s="36" t="s">
        <v>49</v>
      </c>
      <c r="N49" s="36" t="s">
        <v>117</v>
      </c>
      <c r="O49" s="34" t="s">
        <v>8</v>
      </c>
      <c r="P49" s="34">
        <v>7</v>
      </c>
      <c r="Q49" s="34" t="s">
        <v>20</v>
      </c>
      <c r="R49" s="34" t="s">
        <v>392</v>
      </c>
      <c r="S49" s="38" t="str">
        <f t="shared" si="0"/>
        <v>lsuareza</v>
      </c>
    </row>
    <row r="50" spans="1:19" x14ac:dyDescent="0.25">
      <c r="A50" s="34" t="s">
        <v>137</v>
      </c>
      <c r="B50" s="34">
        <v>12281197</v>
      </c>
      <c r="C50" s="34" t="s">
        <v>14</v>
      </c>
      <c r="D50" s="34" t="s">
        <v>190</v>
      </c>
      <c r="E50" s="8">
        <v>44647</v>
      </c>
      <c r="F50" s="31">
        <v>44652</v>
      </c>
      <c r="G50" s="31">
        <v>44652</v>
      </c>
      <c r="H50" s="36">
        <v>5</v>
      </c>
      <c r="I50" s="34" t="s">
        <v>72</v>
      </c>
      <c r="J50" s="34" t="s">
        <v>71</v>
      </c>
      <c r="K50" s="36" t="s">
        <v>15</v>
      </c>
      <c r="L50" s="36" t="s">
        <v>44</v>
      </c>
      <c r="M50" s="36" t="s">
        <v>49</v>
      </c>
      <c r="N50" s="36" t="s">
        <v>117</v>
      </c>
      <c r="O50" s="34" t="s">
        <v>8</v>
      </c>
      <c r="P50" s="34">
        <v>7</v>
      </c>
      <c r="Q50" s="34" t="s">
        <v>20</v>
      </c>
      <c r="R50" s="34" t="s">
        <v>396</v>
      </c>
      <c r="S50" s="38" t="str">
        <f t="shared" si="0"/>
        <v>lsuareza</v>
      </c>
    </row>
    <row r="51" spans="1:19" x14ac:dyDescent="0.25">
      <c r="A51" s="34" t="s">
        <v>137</v>
      </c>
      <c r="B51" s="34">
        <v>12278245</v>
      </c>
      <c r="C51" s="34" t="s">
        <v>14</v>
      </c>
      <c r="D51" s="34" t="s">
        <v>197</v>
      </c>
      <c r="E51" s="8">
        <v>44647</v>
      </c>
      <c r="F51" s="31">
        <v>44652</v>
      </c>
      <c r="G51" s="31">
        <v>44652</v>
      </c>
      <c r="H51" s="36">
        <v>5</v>
      </c>
      <c r="I51" s="34" t="s">
        <v>72</v>
      </c>
      <c r="J51" s="34" t="s">
        <v>71</v>
      </c>
      <c r="K51" s="36" t="s">
        <v>76</v>
      </c>
      <c r="L51" s="36" t="s">
        <v>44</v>
      </c>
      <c r="M51" s="36" t="s">
        <v>49</v>
      </c>
      <c r="N51" s="36" t="s">
        <v>117</v>
      </c>
      <c r="O51" s="34" t="s">
        <v>8</v>
      </c>
      <c r="P51" s="34">
        <v>7</v>
      </c>
      <c r="Q51" s="34" t="s">
        <v>20</v>
      </c>
      <c r="R51" s="34" t="s">
        <v>504</v>
      </c>
      <c r="S51" s="38" t="str">
        <f t="shared" si="0"/>
        <v>lsuareza</v>
      </c>
    </row>
    <row r="52" spans="1:19" x14ac:dyDescent="0.25">
      <c r="A52" s="34" t="s">
        <v>137</v>
      </c>
      <c r="B52" s="34">
        <v>12279177</v>
      </c>
      <c r="C52" s="34" t="s">
        <v>14</v>
      </c>
      <c r="D52" s="34" t="s">
        <v>186</v>
      </c>
      <c r="E52" s="8">
        <v>44647</v>
      </c>
      <c r="F52" s="31">
        <v>44652</v>
      </c>
      <c r="G52" s="31">
        <v>44652</v>
      </c>
      <c r="H52" s="36">
        <v>5</v>
      </c>
      <c r="I52" s="34" t="s">
        <v>72</v>
      </c>
      <c r="J52" s="34" t="s">
        <v>71</v>
      </c>
      <c r="K52" s="36" t="s">
        <v>17</v>
      </c>
      <c r="L52" s="36" t="s">
        <v>44</v>
      </c>
      <c r="M52" s="36" t="s">
        <v>49</v>
      </c>
      <c r="N52" s="36" t="s">
        <v>117</v>
      </c>
      <c r="O52" s="34" t="s">
        <v>8</v>
      </c>
      <c r="P52" s="34">
        <v>7</v>
      </c>
      <c r="Q52" s="34" t="s">
        <v>20</v>
      </c>
      <c r="R52" s="34" t="s">
        <v>505</v>
      </c>
      <c r="S52" s="38" t="str">
        <f t="shared" si="0"/>
        <v>lsuareza</v>
      </c>
    </row>
    <row r="53" spans="1:19" x14ac:dyDescent="0.25">
      <c r="A53" s="34" t="s">
        <v>23</v>
      </c>
      <c r="B53" s="34">
        <v>12213622</v>
      </c>
      <c r="C53" s="34" t="s">
        <v>9</v>
      </c>
      <c r="D53" s="34" t="s">
        <v>140</v>
      </c>
      <c r="E53" s="8">
        <v>44647</v>
      </c>
      <c r="F53" s="31">
        <v>44652</v>
      </c>
      <c r="G53" s="31">
        <v>44652</v>
      </c>
      <c r="H53" s="36">
        <v>5</v>
      </c>
      <c r="I53" s="34" t="s">
        <v>72</v>
      </c>
      <c r="J53" s="34" t="s">
        <v>71</v>
      </c>
      <c r="K53" s="36" t="s">
        <v>23</v>
      </c>
      <c r="L53" s="36" t="s">
        <v>44</v>
      </c>
      <c r="M53" s="36" t="s">
        <v>50</v>
      </c>
      <c r="N53" s="36" t="s">
        <v>117</v>
      </c>
      <c r="O53" s="34" t="s">
        <v>8</v>
      </c>
      <c r="P53" s="34">
        <v>6</v>
      </c>
      <c r="Q53" s="34" t="s">
        <v>19</v>
      </c>
      <c r="R53" s="34" t="s">
        <v>177</v>
      </c>
      <c r="S53" s="38" t="str">
        <f t="shared" si="0"/>
        <v>pgcastillo</v>
      </c>
    </row>
    <row r="54" spans="1:19" x14ac:dyDescent="0.25">
      <c r="A54" s="34" t="s">
        <v>23</v>
      </c>
      <c r="B54" s="34">
        <v>12283690</v>
      </c>
      <c r="C54" s="34" t="s">
        <v>9</v>
      </c>
      <c r="D54" s="34" t="s">
        <v>192</v>
      </c>
      <c r="E54" s="8">
        <v>44647</v>
      </c>
      <c r="F54" s="31">
        <v>44652</v>
      </c>
      <c r="G54" s="31">
        <v>44652</v>
      </c>
      <c r="H54" s="36">
        <v>5</v>
      </c>
      <c r="I54" s="34" t="s">
        <v>72</v>
      </c>
      <c r="J54" s="34" t="s">
        <v>71</v>
      </c>
      <c r="K54" s="36" t="s">
        <v>23</v>
      </c>
      <c r="L54" s="36" t="s">
        <v>44</v>
      </c>
      <c r="M54" s="36" t="s">
        <v>50</v>
      </c>
      <c r="N54" s="36" t="s">
        <v>117</v>
      </c>
      <c r="O54" s="34" t="s">
        <v>8</v>
      </c>
      <c r="P54" s="34">
        <v>6</v>
      </c>
      <c r="Q54" s="34" t="s">
        <v>19</v>
      </c>
      <c r="R54" s="34" t="s">
        <v>209</v>
      </c>
      <c r="S54" s="38" t="str">
        <f t="shared" si="0"/>
        <v>pgcastillo</v>
      </c>
    </row>
    <row r="55" spans="1:19" x14ac:dyDescent="0.25">
      <c r="A55" s="34" t="s">
        <v>21</v>
      </c>
      <c r="B55" s="34">
        <v>12290274</v>
      </c>
      <c r="C55" s="34" t="s">
        <v>14</v>
      </c>
      <c r="D55" s="34" t="s">
        <v>202</v>
      </c>
      <c r="E55" s="8">
        <v>44647</v>
      </c>
      <c r="F55" s="31">
        <v>44652</v>
      </c>
      <c r="G55" s="31">
        <v>44652</v>
      </c>
      <c r="H55" s="36">
        <v>5</v>
      </c>
      <c r="I55" s="34" t="s">
        <v>72</v>
      </c>
      <c r="J55" s="34" t="s">
        <v>71</v>
      </c>
      <c r="K55" s="36" t="s">
        <v>23</v>
      </c>
      <c r="L55" s="36" t="s">
        <v>44</v>
      </c>
      <c r="M55" s="36" t="s">
        <v>49</v>
      </c>
      <c r="N55" s="36" t="s">
        <v>117</v>
      </c>
      <c r="O55" s="34" t="s">
        <v>8</v>
      </c>
      <c r="P55" s="34">
        <v>7</v>
      </c>
      <c r="Q55" s="34" t="s">
        <v>20</v>
      </c>
      <c r="R55" s="34" t="s">
        <v>557</v>
      </c>
      <c r="S55" s="38" t="str">
        <f t="shared" si="0"/>
        <v>jlramirez</v>
      </c>
    </row>
    <row r="56" spans="1:19" x14ac:dyDescent="0.25">
      <c r="A56" s="34" t="s">
        <v>21</v>
      </c>
      <c r="B56" s="34">
        <v>12290838</v>
      </c>
      <c r="C56" s="34" t="s">
        <v>14</v>
      </c>
      <c r="D56" s="34" t="s">
        <v>203</v>
      </c>
      <c r="E56" s="8">
        <v>44647</v>
      </c>
      <c r="F56" s="31">
        <v>44652</v>
      </c>
      <c r="G56" s="31">
        <v>44652</v>
      </c>
      <c r="H56" s="36">
        <v>5</v>
      </c>
      <c r="I56" s="34" t="s">
        <v>72</v>
      </c>
      <c r="J56" s="34" t="s">
        <v>71</v>
      </c>
      <c r="K56" s="36" t="s">
        <v>23</v>
      </c>
      <c r="L56" s="36" t="s">
        <v>44</v>
      </c>
      <c r="M56" s="36" t="s">
        <v>49</v>
      </c>
      <c r="N56" s="36" t="s">
        <v>117</v>
      </c>
      <c r="O56" s="34" t="s">
        <v>8</v>
      </c>
      <c r="P56" s="34">
        <v>7</v>
      </c>
      <c r="Q56" s="34" t="s">
        <v>20</v>
      </c>
      <c r="R56" s="34" t="s">
        <v>558</v>
      </c>
      <c r="S56" s="38" t="str">
        <f t="shared" si="0"/>
        <v>jlramirez</v>
      </c>
    </row>
    <row r="57" spans="1:19" x14ac:dyDescent="0.25">
      <c r="A57" s="34" t="s">
        <v>21</v>
      </c>
      <c r="B57" s="34">
        <v>12285749</v>
      </c>
      <c r="C57" s="34" t="s">
        <v>14</v>
      </c>
      <c r="D57" s="34" t="s">
        <v>183</v>
      </c>
      <c r="E57" s="8">
        <v>44647</v>
      </c>
      <c r="F57" s="31">
        <v>44652</v>
      </c>
      <c r="G57" s="31">
        <v>44652</v>
      </c>
      <c r="H57" s="36">
        <v>5</v>
      </c>
      <c r="I57" s="34" t="s">
        <v>72</v>
      </c>
      <c r="J57" s="34" t="s">
        <v>71</v>
      </c>
      <c r="K57" s="36" t="s">
        <v>17</v>
      </c>
      <c r="L57" s="36" t="s">
        <v>44</v>
      </c>
      <c r="M57" s="36" t="s">
        <v>49</v>
      </c>
      <c r="N57" s="36" t="s">
        <v>117</v>
      </c>
      <c r="O57" s="34" t="s">
        <v>8</v>
      </c>
      <c r="P57" s="34">
        <v>7</v>
      </c>
      <c r="Q57" s="34" t="s">
        <v>20</v>
      </c>
      <c r="R57" s="34" t="s">
        <v>358</v>
      </c>
      <c r="S57" s="38" t="str">
        <f t="shared" si="0"/>
        <v>jlramirez</v>
      </c>
    </row>
    <row r="58" spans="1:19" x14ac:dyDescent="0.25">
      <c r="A58" s="34" t="s">
        <v>21</v>
      </c>
      <c r="B58" s="34">
        <v>12277391</v>
      </c>
      <c r="C58" s="34" t="s">
        <v>14</v>
      </c>
      <c r="D58" s="34" t="s">
        <v>180</v>
      </c>
      <c r="E58" s="8">
        <v>44647</v>
      </c>
      <c r="F58" s="31">
        <v>44652</v>
      </c>
      <c r="G58" s="31">
        <v>44652</v>
      </c>
      <c r="H58" s="36">
        <v>5</v>
      </c>
      <c r="I58" s="34" t="s">
        <v>72</v>
      </c>
      <c r="J58" s="34" t="s">
        <v>71</v>
      </c>
      <c r="K58" s="36" t="s">
        <v>17</v>
      </c>
      <c r="L58" s="36" t="s">
        <v>44</v>
      </c>
      <c r="M58" s="36" t="s">
        <v>49</v>
      </c>
      <c r="N58" s="36" t="s">
        <v>117</v>
      </c>
      <c r="O58" s="34" t="s">
        <v>8</v>
      </c>
      <c r="P58" s="34">
        <v>7</v>
      </c>
      <c r="Q58" s="34" t="s">
        <v>20</v>
      </c>
      <c r="R58" s="34" t="s">
        <v>361</v>
      </c>
      <c r="S58" s="38" t="str">
        <f t="shared" si="0"/>
        <v>jlramirez</v>
      </c>
    </row>
    <row r="59" spans="1:19" x14ac:dyDescent="0.25">
      <c r="A59" s="34" t="s">
        <v>21</v>
      </c>
      <c r="B59" s="34">
        <v>12277742</v>
      </c>
      <c r="C59" s="34" t="s">
        <v>14</v>
      </c>
      <c r="D59" s="34" t="s">
        <v>185</v>
      </c>
      <c r="E59" s="8">
        <v>44647</v>
      </c>
      <c r="F59" s="31">
        <v>44652</v>
      </c>
      <c r="G59" s="31">
        <v>44652</v>
      </c>
      <c r="H59" s="36">
        <v>5</v>
      </c>
      <c r="I59" s="34" t="s">
        <v>72</v>
      </c>
      <c r="J59" s="34" t="s">
        <v>71</v>
      </c>
      <c r="K59" s="36" t="s">
        <v>17</v>
      </c>
      <c r="L59" s="36" t="s">
        <v>44</v>
      </c>
      <c r="M59" s="36" t="s">
        <v>49</v>
      </c>
      <c r="N59" s="36" t="s">
        <v>117</v>
      </c>
      <c r="O59" s="34" t="s">
        <v>8</v>
      </c>
      <c r="P59" s="34">
        <v>7</v>
      </c>
      <c r="Q59" s="34" t="s">
        <v>20</v>
      </c>
      <c r="R59" s="34" t="s">
        <v>365</v>
      </c>
      <c r="S59" s="38" t="str">
        <f t="shared" si="0"/>
        <v>jlramirez</v>
      </c>
    </row>
    <row r="60" spans="1:19" x14ac:dyDescent="0.25">
      <c r="A60" s="34" t="s">
        <v>21</v>
      </c>
      <c r="B60" s="34">
        <v>12284875</v>
      </c>
      <c r="C60" s="34" t="s">
        <v>14</v>
      </c>
      <c r="D60" s="34" t="s">
        <v>195</v>
      </c>
      <c r="E60" s="8">
        <v>44647</v>
      </c>
      <c r="F60" s="31">
        <v>44652</v>
      </c>
      <c r="G60" s="31">
        <v>44652</v>
      </c>
      <c r="H60" s="36">
        <v>5</v>
      </c>
      <c r="I60" s="34" t="s">
        <v>72</v>
      </c>
      <c r="J60" s="34" t="s">
        <v>71</v>
      </c>
      <c r="K60" s="36" t="s">
        <v>17</v>
      </c>
      <c r="L60" s="36" t="s">
        <v>44</v>
      </c>
      <c r="M60" s="36" t="s">
        <v>49</v>
      </c>
      <c r="N60" s="36" t="s">
        <v>117</v>
      </c>
      <c r="O60" s="34" t="s">
        <v>8</v>
      </c>
      <c r="P60" s="34">
        <v>7</v>
      </c>
      <c r="Q60" s="34" t="s">
        <v>20</v>
      </c>
      <c r="R60" s="34" t="s">
        <v>366</v>
      </c>
      <c r="S60" s="38" t="str">
        <f t="shared" si="0"/>
        <v>jlramirez</v>
      </c>
    </row>
    <row r="61" spans="1:19" x14ac:dyDescent="0.25">
      <c r="A61" s="34" t="s">
        <v>21</v>
      </c>
      <c r="B61" s="34">
        <v>12284323</v>
      </c>
      <c r="C61" s="34" t="s">
        <v>14</v>
      </c>
      <c r="D61" s="34" t="s">
        <v>182</v>
      </c>
      <c r="E61" s="8">
        <v>44647</v>
      </c>
      <c r="F61" s="31">
        <v>44652</v>
      </c>
      <c r="G61" s="31">
        <v>44652</v>
      </c>
      <c r="H61" s="36">
        <v>5</v>
      </c>
      <c r="I61" s="34" t="s">
        <v>72</v>
      </c>
      <c r="J61" s="34" t="s">
        <v>71</v>
      </c>
      <c r="K61" s="36" t="s">
        <v>17</v>
      </c>
      <c r="L61" s="36" t="s">
        <v>44</v>
      </c>
      <c r="M61" s="36" t="s">
        <v>49</v>
      </c>
      <c r="N61" s="36" t="s">
        <v>117</v>
      </c>
      <c r="O61" s="34" t="s">
        <v>8</v>
      </c>
      <c r="P61" s="34">
        <v>7</v>
      </c>
      <c r="Q61" s="34" t="s">
        <v>20</v>
      </c>
      <c r="R61" s="34" t="s">
        <v>370</v>
      </c>
      <c r="S61" s="38" t="str">
        <f t="shared" si="0"/>
        <v>jlramirez</v>
      </c>
    </row>
    <row r="62" spans="1:19" x14ac:dyDescent="0.25">
      <c r="A62" s="34" t="s">
        <v>21</v>
      </c>
      <c r="B62" s="34">
        <v>12280198</v>
      </c>
      <c r="C62" s="34" t="s">
        <v>14</v>
      </c>
      <c r="D62" s="34" t="s">
        <v>188</v>
      </c>
      <c r="E62" s="8">
        <v>44647</v>
      </c>
      <c r="F62" s="31">
        <v>44652</v>
      </c>
      <c r="G62" s="31">
        <v>44652</v>
      </c>
      <c r="H62" s="36">
        <v>5</v>
      </c>
      <c r="I62" s="34" t="s">
        <v>72</v>
      </c>
      <c r="J62" s="34" t="s">
        <v>71</v>
      </c>
      <c r="K62" s="36" t="s">
        <v>17</v>
      </c>
      <c r="L62" s="36" t="s">
        <v>44</v>
      </c>
      <c r="M62" s="36" t="s">
        <v>49</v>
      </c>
      <c r="N62" s="36" t="s">
        <v>117</v>
      </c>
      <c r="O62" s="34" t="s">
        <v>8</v>
      </c>
      <c r="P62" s="34">
        <v>7</v>
      </c>
      <c r="Q62" s="34" t="s">
        <v>20</v>
      </c>
      <c r="R62" s="34" t="s">
        <v>375</v>
      </c>
      <c r="S62" s="38" t="str">
        <f t="shared" si="0"/>
        <v>jlramirez</v>
      </c>
    </row>
    <row r="63" spans="1:19" x14ac:dyDescent="0.25">
      <c r="A63" s="34" t="s">
        <v>15</v>
      </c>
      <c r="B63" s="34">
        <v>12292646</v>
      </c>
      <c r="C63" s="34" t="s">
        <v>9</v>
      </c>
      <c r="D63" s="34" t="s">
        <v>210</v>
      </c>
      <c r="E63" s="8">
        <v>44648</v>
      </c>
      <c r="F63" s="31">
        <v>44655</v>
      </c>
      <c r="G63" s="31">
        <v>44652</v>
      </c>
      <c r="H63" s="36">
        <v>5</v>
      </c>
      <c r="I63" s="34" t="s">
        <v>72</v>
      </c>
      <c r="J63" s="34" t="s">
        <v>71</v>
      </c>
      <c r="K63" s="36" t="s">
        <v>15</v>
      </c>
      <c r="L63" s="36" t="s">
        <v>44</v>
      </c>
      <c r="M63" s="36" t="s">
        <v>48</v>
      </c>
      <c r="N63" s="36" t="s">
        <v>117</v>
      </c>
      <c r="O63" s="34" t="s">
        <v>26</v>
      </c>
      <c r="P63" s="34">
        <v>8</v>
      </c>
      <c r="Q63" s="34" t="s">
        <v>131</v>
      </c>
      <c r="R63" s="34" t="s">
        <v>455</v>
      </c>
      <c r="S63" s="38" t="str">
        <f t="shared" si="0"/>
        <v>bquirogan</v>
      </c>
    </row>
    <row r="64" spans="1:19" x14ac:dyDescent="0.25">
      <c r="A64" s="34" t="s">
        <v>17</v>
      </c>
      <c r="B64" s="34">
        <v>12301194</v>
      </c>
      <c r="C64" s="34" t="s">
        <v>9</v>
      </c>
      <c r="D64" s="34" t="s">
        <v>211</v>
      </c>
      <c r="E64" s="8">
        <v>44648</v>
      </c>
      <c r="F64" s="31">
        <v>44655</v>
      </c>
      <c r="G64" s="31">
        <v>44652</v>
      </c>
      <c r="H64" s="36">
        <v>5</v>
      </c>
      <c r="I64" s="34" t="s">
        <v>72</v>
      </c>
      <c r="J64" s="34" t="s">
        <v>71</v>
      </c>
      <c r="K64" s="36" t="s">
        <v>17</v>
      </c>
      <c r="L64" s="36" t="s">
        <v>44</v>
      </c>
      <c r="M64" s="36" t="s">
        <v>47</v>
      </c>
      <c r="N64" s="36" t="s">
        <v>117</v>
      </c>
      <c r="O64" s="34" t="s">
        <v>26</v>
      </c>
      <c r="P64" s="34">
        <v>2</v>
      </c>
      <c r="Q64" s="34" t="s">
        <v>12</v>
      </c>
      <c r="R64" s="34" t="s">
        <v>207</v>
      </c>
      <c r="S64" s="38" t="str">
        <f t="shared" si="0"/>
        <v>jjleon</v>
      </c>
    </row>
    <row r="65" spans="1:19" x14ac:dyDescent="0.25">
      <c r="A65" s="34" t="s">
        <v>21</v>
      </c>
      <c r="B65" s="34">
        <v>12301252</v>
      </c>
      <c r="C65" s="34" t="s">
        <v>14</v>
      </c>
      <c r="D65" s="34" t="s">
        <v>221</v>
      </c>
      <c r="E65" s="8">
        <v>44648</v>
      </c>
      <c r="F65" s="31">
        <v>44655</v>
      </c>
      <c r="G65" s="31">
        <v>44652</v>
      </c>
      <c r="H65" s="36">
        <v>5</v>
      </c>
      <c r="I65" s="34" t="s">
        <v>72</v>
      </c>
      <c r="J65" s="34" t="s">
        <v>71</v>
      </c>
      <c r="K65" s="36" t="s">
        <v>17</v>
      </c>
      <c r="L65" s="36" t="s">
        <v>44</v>
      </c>
      <c r="M65" s="36" t="s">
        <v>49</v>
      </c>
      <c r="N65" s="36" t="s">
        <v>117</v>
      </c>
      <c r="O65" s="34" t="s">
        <v>8</v>
      </c>
      <c r="P65" s="34">
        <v>7</v>
      </c>
      <c r="Q65" s="34" t="s">
        <v>20</v>
      </c>
      <c r="R65" s="34" t="s">
        <v>379</v>
      </c>
      <c r="S65" s="38" t="str">
        <f t="shared" si="0"/>
        <v>jlramirez</v>
      </c>
    </row>
    <row r="66" spans="1:19" x14ac:dyDescent="0.25">
      <c r="A66" s="34" t="s">
        <v>21</v>
      </c>
      <c r="B66" s="34">
        <v>12292487</v>
      </c>
      <c r="C66" s="34" t="s">
        <v>14</v>
      </c>
      <c r="D66" s="34" t="s">
        <v>213</v>
      </c>
      <c r="E66" s="8">
        <v>44648</v>
      </c>
      <c r="F66" s="31">
        <v>44655</v>
      </c>
      <c r="G66" s="31">
        <v>44652</v>
      </c>
      <c r="H66" s="36">
        <v>5</v>
      </c>
      <c r="I66" s="34" t="s">
        <v>72</v>
      </c>
      <c r="J66" s="34" t="s">
        <v>71</v>
      </c>
      <c r="K66" s="36" t="s">
        <v>23</v>
      </c>
      <c r="L66" s="36" t="s">
        <v>44</v>
      </c>
      <c r="M66" s="36" t="s">
        <v>49</v>
      </c>
      <c r="N66" s="36" t="s">
        <v>117</v>
      </c>
      <c r="O66" s="34" t="s">
        <v>8</v>
      </c>
      <c r="P66" s="34">
        <v>7</v>
      </c>
      <c r="Q66" s="34" t="s">
        <v>20</v>
      </c>
      <c r="R66" s="34" t="s">
        <v>483</v>
      </c>
      <c r="S66" s="38" t="str">
        <f t="shared" si="0"/>
        <v>jlramirez</v>
      </c>
    </row>
    <row r="67" spans="1:19" x14ac:dyDescent="0.25">
      <c r="A67" s="34" t="s">
        <v>21</v>
      </c>
      <c r="B67" s="34">
        <v>12295025</v>
      </c>
      <c r="C67" s="34" t="s">
        <v>14</v>
      </c>
      <c r="D67" s="34" t="s">
        <v>214</v>
      </c>
      <c r="E67" s="8">
        <v>44648</v>
      </c>
      <c r="F67" s="31">
        <v>44655</v>
      </c>
      <c r="G67" s="31">
        <v>44652</v>
      </c>
      <c r="H67" s="36">
        <v>5</v>
      </c>
      <c r="I67" s="34" t="s">
        <v>72</v>
      </c>
      <c r="J67" s="34" t="s">
        <v>71</v>
      </c>
      <c r="K67" s="36" t="s">
        <v>23</v>
      </c>
      <c r="L67" s="36" t="s">
        <v>44</v>
      </c>
      <c r="M67" s="36" t="s">
        <v>49</v>
      </c>
      <c r="N67" s="36" t="s">
        <v>117</v>
      </c>
      <c r="O67" s="34" t="s">
        <v>8</v>
      </c>
      <c r="P67" s="34">
        <v>7</v>
      </c>
      <c r="Q67" s="34" t="s">
        <v>20</v>
      </c>
      <c r="R67" s="34" t="s">
        <v>484</v>
      </c>
      <c r="S67" s="38" t="str">
        <f t="shared" ref="S67:S130" si="1">IF($A67="","",$A67)</f>
        <v>jlramirez</v>
      </c>
    </row>
    <row r="68" spans="1:19" x14ac:dyDescent="0.25">
      <c r="A68" s="34" t="s">
        <v>21</v>
      </c>
      <c r="B68" s="34">
        <v>12299978</v>
      </c>
      <c r="C68" s="34" t="s">
        <v>14</v>
      </c>
      <c r="D68" s="34" t="s">
        <v>219</v>
      </c>
      <c r="E68" s="8">
        <v>44648</v>
      </c>
      <c r="F68" s="31">
        <v>44655</v>
      </c>
      <c r="G68" s="31">
        <v>44652</v>
      </c>
      <c r="H68" s="36">
        <v>5</v>
      </c>
      <c r="I68" s="34" t="s">
        <v>72</v>
      </c>
      <c r="J68" s="34" t="s">
        <v>71</v>
      </c>
      <c r="K68" s="36" t="s">
        <v>23</v>
      </c>
      <c r="L68" s="36" t="s">
        <v>44</v>
      </c>
      <c r="M68" s="36" t="s">
        <v>49</v>
      </c>
      <c r="N68" s="36" t="s">
        <v>117</v>
      </c>
      <c r="O68" s="34" t="s">
        <v>8</v>
      </c>
      <c r="P68" s="34">
        <v>7</v>
      </c>
      <c r="Q68" s="34" t="s">
        <v>20</v>
      </c>
      <c r="R68" s="34" t="s">
        <v>487</v>
      </c>
      <c r="S68" s="38" t="str">
        <f t="shared" si="1"/>
        <v>jlramirez</v>
      </c>
    </row>
    <row r="69" spans="1:19" x14ac:dyDescent="0.25">
      <c r="A69" s="34" t="s">
        <v>21</v>
      </c>
      <c r="B69" s="34">
        <v>12297519</v>
      </c>
      <c r="C69" s="34" t="s">
        <v>14</v>
      </c>
      <c r="D69" s="34" t="s">
        <v>225</v>
      </c>
      <c r="E69" s="8">
        <v>44648</v>
      </c>
      <c r="F69" s="31">
        <v>44655</v>
      </c>
      <c r="G69" s="31">
        <v>44652</v>
      </c>
      <c r="H69" s="36">
        <v>5</v>
      </c>
      <c r="I69" s="34" t="s">
        <v>72</v>
      </c>
      <c r="J69" s="34" t="s">
        <v>71</v>
      </c>
      <c r="K69" s="36" t="s">
        <v>17</v>
      </c>
      <c r="L69" s="36" t="s">
        <v>44</v>
      </c>
      <c r="M69" s="36" t="s">
        <v>49</v>
      </c>
      <c r="N69" s="36" t="s">
        <v>117</v>
      </c>
      <c r="O69" s="34" t="s">
        <v>8</v>
      </c>
      <c r="P69" s="34">
        <v>7</v>
      </c>
      <c r="Q69" s="34" t="s">
        <v>20</v>
      </c>
      <c r="R69" s="34" t="s">
        <v>493</v>
      </c>
      <c r="S69" s="38" t="str">
        <f t="shared" si="1"/>
        <v>jlramirez</v>
      </c>
    </row>
    <row r="70" spans="1:19" x14ac:dyDescent="0.25">
      <c r="A70" s="34" t="s">
        <v>21</v>
      </c>
      <c r="B70" s="34">
        <v>12300827</v>
      </c>
      <c r="C70" s="34" t="s">
        <v>14</v>
      </c>
      <c r="D70" s="34" t="s">
        <v>228</v>
      </c>
      <c r="E70" s="8">
        <v>44648</v>
      </c>
      <c r="F70" s="31">
        <v>44655</v>
      </c>
      <c r="G70" s="31">
        <v>44652</v>
      </c>
      <c r="H70" s="36">
        <v>5</v>
      </c>
      <c r="I70" s="34" t="s">
        <v>72</v>
      </c>
      <c r="J70" s="34" t="s">
        <v>71</v>
      </c>
      <c r="K70" s="36" t="s">
        <v>75</v>
      </c>
      <c r="L70" s="36" t="s">
        <v>44</v>
      </c>
      <c r="M70" s="36" t="s">
        <v>49</v>
      </c>
      <c r="N70" s="36" t="s">
        <v>117</v>
      </c>
      <c r="O70" s="34" t="s">
        <v>8</v>
      </c>
      <c r="P70" s="34">
        <v>7</v>
      </c>
      <c r="Q70" s="34" t="s">
        <v>20</v>
      </c>
      <c r="R70" s="34" t="s">
        <v>495</v>
      </c>
      <c r="S70" s="38" t="str">
        <f t="shared" si="1"/>
        <v>jlramirez</v>
      </c>
    </row>
    <row r="71" spans="1:19" x14ac:dyDescent="0.25">
      <c r="A71" s="34" t="s">
        <v>21</v>
      </c>
      <c r="B71" s="34">
        <v>12292341</v>
      </c>
      <c r="C71" s="34" t="s">
        <v>14</v>
      </c>
      <c r="D71" s="34" t="s">
        <v>222</v>
      </c>
      <c r="E71" s="8">
        <v>44648</v>
      </c>
      <c r="F71" s="31">
        <v>44655</v>
      </c>
      <c r="G71" s="31">
        <v>44652</v>
      </c>
      <c r="H71" s="36">
        <v>5</v>
      </c>
      <c r="I71" s="34" t="s">
        <v>72</v>
      </c>
      <c r="J71" s="34" t="s">
        <v>71</v>
      </c>
      <c r="K71" s="36" t="s">
        <v>17</v>
      </c>
      <c r="L71" s="36" t="s">
        <v>44</v>
      </c>
      <c r="M71" s="36" t="s">
        <v>49</v>
      </c>
      <c r="N71" s="36" t="s">
        <v>117</v>
      </c>
      <c r="O71" s="34" t="s">
        <v>8</v>
      </c>
      <c r="P71" s="34">
        <v>7</v>
      </c>
      <c r="Q71" s="34" t="s">
        <v>20</v>
      </c>
      <c r="R71" s="34" t="s">
        <v>499</v>
      </c>
      <c r="S71" s="38" t="str">
        <f t="shared" si="1"/>
        <v>jlramirez</v>
      </c>
    </row>
    <row r="72" spans="1:19" x14ac:dyDescent="0.25">
      <c r="A72" s="34" t="s">
        <v>137</v>
      </c>
      <c r="B72" s="34">
        <v>12297509</v>
      </c>
      <c r="C72" s="34" t="s">
        <v>14</v>
      </c>
      <c r="D72" s="34" t="s">
        <v>216</v>
      </c>
      <c r="E72" s="8">
        <v>44648</v>
      </c>
      <c r="F72" s="31">
        <v>44655</v>
      </c>
      <c r="G72" s="31">
        <v>44652</v>
      </c>
      <c r="H72" s="36">
        <v>5</v>
      </c>
      <c r="I72" s="34" t="s">
        <v>72</v>
      </c>
      <c r="J72" s="34" t="s">
        <v>71</v>
      </c>
      <c r="K72" s="36" t="s">
        <v>15</v>
      </c>
      <c r="L72" s="36" t="s">
        <v>44</v>
      </c>
      <c r="M72" s="36" t="s">
        <v>49</v>
      </c>
      <c r="N72" s="36" t="s">
        <v>117</v>
      </c>
      <c r="O72" s="34" t="s">
        <v>8</v>
      </c>
      <c r="P72" s="34">
        <v>7</v>
      </c>
      <c r="Q72" s="34" t="s">
        <v>20</v>
      </c>
      <c r="R72" s="34" t="s">
        <v>376</v>
      </c>
      <c r="S72" s="38" t="str">
        <f t="shared" si="1"/>
        <v>lsuareza</v>
      </c>
    </row>
    <row r="73" spans="1:19" x14ac:dyDescent="0.25">
      <c r="A73" s="34" t="s">
        <v>137</v>
      </c>
      <c r="B73" s="34">
        <v>12298377</v>
      </c>
      <c r="C73" s="34" t="s">
        <v>14</v>
      </c>
      <c r="D73" s="34" t="s">
        <v>217</v>
      </c>
      <c r="E73" s="8">
        <v>44648</v>
      </c>
      <c r="F73" s="31">
        <v>44655</v>
      </c>
      <c r="G73" s="31">
        <v>44652</v>
      </c>
      <c r="H73" s="36">
        <v>5</v>
      </c>
      <c r="I73" s="34" t="s">
        <v>72</v>
      </c>
      <c r="J73" s="34" t="s">
        <v>71</v>
      </c>
      <c r="K73" s="36" t="s">
        <v>15</v>
      </c>
      <c r="L73" s="36" t="s">
        <v>44</v>
      </c>
      <c r="M73" s="36" t="s">
        <v>49</v>
      </c>
      <c r="N73" s="36" t="s">
        <v>117</v>
      </c>
      <c r="O73" s="34" t="s">
        <v>8</v>
      </c>
      <c r="P73" s="34">
        <v>7</v>
      </c>
      <c r="Q73" s="34" t="s">
        <v>20</v>
      </c>
      <c r="R73" s="34" t="s">
        <v>380</v>
      </c>
      <c r="S73" s="38" t="str">
        <f t="shared" si="1"/>
        <v>lsuareza</v>
      </c>
    </row>
    <row r="74" spans="1:19" x14ac:dyDescent="0.25">
      <c r="A74" s="34" t="s">
        <v>137</v>
      </c>
      <c r="B74" s="34">
        <v>12297589</v>
      </c>
      <c r="C74" s="34" t="s">
        <v>14</v>
      </c>
      <c r="D74" s="34" t="s">
        <v>226</v>
      </c>
      <c r="E74" s="8">
        <v>44648</v>
      </c>
      <c r="F74" s="31">
        <v>44655</v>
      </c>
      <c r="G74" s="31">
        <v>44652</v>
      </c>
      <c r="H74" s="36">
        <v>5</v>
      </c>
      <c r="I74" s="34" t="s">
        <v>72</v>
      </c>
      <c r="J74" s="34" t="s">
        <v>71</v>
      </c>
      <c r="K74" s="36" t="s">
        <v>15</v>
      </c>
      <c r="L74" s="36" t="s">
        <v>44</v>
      </c>
      <c r="M74" s="36" t="s">
        <v>49</v>
      </c>
      <c r="N74" s="36" t="s">
        <v>117</v>
      </c>
      <c r="O74" s="34" t="s">
        <v>8</v>
      </c>
      <c r="P74" s="34">
        <v>7</v>
      </c>
      <c r="Q74" s="34" t="s">
        <v>20</v>
      </c>
      <c r="R74" s="34" t="s">
        <v>394</v>
      </c>
      <c r="S74" s="38" t="str">
        <f t="shared" si="1"/>
        <v>lsuareza</v>
      </c>
    </row>
    <row r="75" spans="1:19" x14ac:dyDescent="0.25">
      <c r="A75" s="34" t="s">
        <v>17</v>
      </c>
      <c r="B75" s="34">
        <v>12291949</v>
      </c>
      <c r="C75" s="34" t="s">
        <v>9</v>
      </c>
      <c r="D75" s="34" t="s">
        <v>212</v>
      </c>
      <c r="E75" s="8">
        <v>44648</v>
      </c>
      <c r="F75" s="31">
        <v>44655</v>
      </c>
      <c r="G75" s="31">
        <v>44652</v>
      </c>
      <c r="H75" s="36">
        <v>5</v>
      </c>
      <c r="I75" s="34" t="s">
        <v>72</v>
      </c>
      <c r="J75" s="34" t="s">
        <v>71</v>
      </c>
      <c r="K75" s="36" t="s">
        <v>15</v>
      </c>
      <c r="L75" s="36" t="s">
        <v>44</v>
      </c>
      <c r="M75" s="36" t="s">
        <v>49</v>
      </c>
      <c r="N75" s="36" t="s">
        <v>117</v>
      </c>
      <c r="O75" s="34" t="s">
        <v>8</v>
      </c>
      <c r="P75" s="34">
        <v>7</v>
      </c>
      <c r="Q75" s="34" t="s">
        <v>20</v>
      </c>
      <c r="R75" s="34" t="s">
        <v>506</v>
      </c>
      <c r="S75" s="38" t="str">
        <f t="shared" si="1"/>
        <v>jjleon</v>
      </c>
    </row>
    <row r="76" spans="1:19" x14ac:dyDescent="0.25">
      <c r="A76" s="34" t="s">
        <v>15</v>
      </c>
      <c r="B76" s="34">
        <v>12301331</v>
      </c>
      <c r="C76" s="34" t="s">
        <v>9</v>
      </c>
      <c r="D76" s="34" t="s">
        <v>229</v>
      </c>
      <c r="E76" s="8">
        <v>44648</v>
      </c>
      <c r="F76" s="31">
        <v>44655</v>
      </c>
      <c r="G76" s="31">
        <v>44652</v>
      </c>
      <c r="H76" s="36">
        <v>5</v>
      </c>
      <c r="I76" s="34" t="s">
        <v>72</v>
      </c>
      <c r="J76" s="34" t="s">
        <v>71</v>
      </c>
      <c r="K76" s="36" t="s">
        <v>17</v>
      </c>
      <c r="L76" s="36" t="s">
        <v>44</v>
      </c>
      <c r="M76" s="36" t="s">
        <v>49</v>
      </c>
      <c r="N76" s="36" t="s">
        <v>117</v>
      </c>
      <c r="O76" s="34" t="s">
        <v>8</v>
      </c>
      <c r="P76" s="34">
        <v>7</v>
      </c>
      <c r="Q76" s="34" t="s">
        <v>20</v>
      </c>
      <c r="R76" s="34" t="s">
        <v>508</v>
      </c>
      <c r="S76" s="38" t="str">
        <f t="shared" si="1"/>
        <v>bquirogan</v>
      </c>
    </row>
    <row r="77" spans="1:19" x14ac:dyDescent="0.25">
      <c r="A77" s="34" t="s">
        <v>15</v>
      </c>
      <c r="B77" s="34">
        <v>12298730</v>
      </c>
      <c r="C77" s="34" t="s">
        <v>9</v>
      </c>
      <c r="D77" s="34" t="s">
        <v>218</v>
      </c>
      <c r="E77" s="8">
        <v>44648</v>
      </c>
      <c r="F77" s="31">
        <v>44655</v>
      </c>
      <c r="G77" s="31">
        <v>44652</v>
      </c>
      <c r="H77" s="36">
        <v>5</v>
      </c>
      <c r="I77" s="34" t="s">
        <v>72</v>
      </c>
      <c r="J77" s="34" t="s">
        <v>71</v>
      </c>
      <c r="K77" s="36" t="s">
        <v>15</v>
      </c>
      <c r="L77" s="36" t="s">
        <v>44</v>
      </c>
      <c r="M77" s="36" t="s">
        <v>49</v>
      </c>
      <c r="N77" s="36" t="s">
        <v>117</v>
      </c>
      <c r="O77" s="34" t="s">
        <v>8</v>
      </c>
      <c r="P77" s="34">
        <v>7</v>
      </c>
      <c r="Q77" s="34" t="s">
        <v>20</v>
      </c>
      <c r="R77" s="34" t="s">
        <v>512</v>
      </c>
      <c r="S77" s="38" t="str">
        <f t="shared" si="1"/>
        <v>bquirogan</v>
      </c>
    </row>
    <row r="78" spans="1:19" x14ac:dyDescent="0.25">
      <c r="A78" s="34" t="s">
        <v>17</v>
      </c>
      <c r="B78" s="34">
        <v>12301019</v>
      </c>
      <c r="C78" s="34" t="s">
        <v>9</v>
      </c>
      <c r="D78" s="34" t="s">
        <v>220</v>
      </c>
      <c r="E78" s="8">
        <v>44648</v>
      </c>
      <c r="F78" s="31">
        <v>44655</v>
      </c>
      <c r="G78" s="31">
        <v>44652</v>
      </c>
      <c r="H78" s="36">
        <v>5</v>
      </c>
      <c r="I78" s="34" t="s">
        <v>72</v>
      </c>
      <c r="J78" s="34" t="s">
        <v>71</v>
      </c>
      <c r="K78" s="36" t="s">
        <v>15</v>
      </c>
      <c r="L78" s="36" t="s">
        <v>44</v>
      </c>
      <c r="M78" s="36" t="s">
        <v>49</v>
      </c>
      <c r="N78" s="36" t="s">
        <v>117</v>
      </c>
      <c r="O78" s="34" t="s">
        <v>8</v>
      </c>
      <c r="P78" s="34">
        <v>7</v>
      </c>
      <c r="Q78" s="34" t="s">
        <v>20</v>
      </c>
      <c r="R78" s="34" t="s">
        <v>518</v>
      </c>
      <c r="S78" s="38" t="str">
        <f t="shared" si="1"/>
        <v>jjleon</v>
      </c>
    </row>
    <row r="79" spans="1:19" x14ac:dyDescent="0.25">
      <c r="A79" s="34" t="s">
        <v>15</v>
      </c>
      <c r="B79" s="34">
        <v>12300430</v>
      </c>
      <c r="C79" s="34" t="s">
        <v>9</v>
      </c>
      <c r="D79" s="34" t="s">
        <v>227</v>
      </c>
      <c r="E79" s="8">
        <v>44648</v>
      </c>
      <c r="F79" s="31">
        <v>44655</v>
      </c>
      <c r="G79" s="31">
        <v>44652</v>
      </c>
      <c r="H79" s="36">
        <v>5</v>
      </c>
      <c r="I79" s="34" t="s">
        <v>72</v>
      </c>
      <c r="J79" s="34" t="s">
        <v>71</v>
      </c>
      <c r="K79" s="36" t="s">
        <v>17</v>
      </c>
      <c r="L79" s="36" t="s">
        <v>44</v>
      </c>
      <c r="M79" s="36" t="s">
        <v>49</v>
      </c>
      <c r="N79" s="36" t="s">
        <v>117</v>
      </c>
      <c r="O79" s="34" t="s">
        <v>8</v>
      </c>
      <c r="P79" s="34">
        <v>7</v>
      </c>
      <c r="Q79" s="34" t="s">
        <v>20</v>
      </c>
      <c r="R79" s="34" t="s">
        <v>527</v>
      </c>
      <c r="S79" s="38" t="str">
        <f t="shared" si="1"/>
        <v>bquirogan</v>
      </c>
    </row>
    <row r="80" spans="1:19" x14ac:dyDescent="0.25">
      <c r="A80" s="34" t="s">
        <v>23</v>
      </c>
      <c r="B80" s="34">
        <v>12293628</v>
      </c>
      <c r="C80" s="34" t="s">
        <v>9</v>
      </c>
      <c r="D80" s="34" t="s">
        <v>223</v>
      </c>
      <c r="E80" s="8">
        <v>44648</v>
      </c>
      <c r="F80" s="31">
        <v>44655</v>
      </c>
      <c r="G80" s="31">
        <v>44652</v>
      </c>
      <c r="H80" s="36">
        <v>5</v>
      </c>
      <c r="I80" s="34" t="s">
        <v>72</v>
      </c>
      <c r="J80" s="34" t="s">
        <v>71</v>
      </c>
      <c r="K80" s="36" t="s">
        <v>23</v>
      </c>
      <c r="L80" s="36" t="s">
        <v>44</v>
      </c>
      <c r="M80" s="36" t="s">
        <v>50</v>
      </c>
      <c r="N80" s="36" t="s">
        <v>117</v>
      </c>
      <c r="O80" s="34" t="s">
        <v>8</v>
      </c>
      <c r="P80" s="34">
        <v>6</v>
      </c>
      <c r="Q80" s="34" t="s">
        <v>19</v>
      </c>
      <c r="R80" s="34" t="s">
        <v>247</v>
      </c>
      <c r="S80" s="38" t="str">
        <f t="shared" si="1"/>
        <v>pgcastillo</v>
      </c>
    </row>
    <row r="81" spans="1:19" x14ac:dyDescent="0.25">
      <c r="A81" s="34" t="s">
        <v>21</v>
      </c>
      <c r="B81" s="34">
        <v>12296485</v>
      </c>
      <c r="C81" s="34" t="s">
        <v>14</v>
      </c>
      <c r="D81" s="34" t="s">
        <v>224</v>
      </c>
      <c r="E81" s="8">
        <v>44648</v>
      </c>
      <c r="F81" s="31">
        <v>44655</v>
      </c>
      <c r="G81" s="31">
        <v>44652</v>
      </c>
      <c r="H81" s="36">
        <v>5</v>
      </c>
      <c r="I81" s="34" t="s">
        <v>72</v>
      </c>
      <c r="J81" s="34" t="s">
        <v>71</v>
      </c>
      <c r="K81" s="36" t="s">
        <v>17</v>
      </c>
      <c r="L81" s="36" t="s">
        <v>44</v>
      </c>
      <c r="M81" s="36" t="s">
        <v>49</v>
      </c>
      <c r="N81" s="36" t="s">
        <v>117</v>
      </c>
      <c r="O81" s="34" t="s">
        <v>8</v>
      </c>
      <c r="P81" s="34">
        <v>7</v>
      </c>
      <c r="Q81" s="34" t="s">
        <v>20</v>
      </c>
      <c r="R81" s="34" t="s">
        <v>561</v>
      </c>
      <c r="S81" s="38" t="str">
        <f t="shared" si="1"/>
        <v>jlramirez</v>
      </c>
    </row>
    <row r="82" spans="1:19" x14ac:dyDescent="0.25">
      <c r="A82" s="34" t="s">
        <v>21</v>
      </c>
      <c r="B82" s="34">
        <v>12297296</v>
      </c>
      <c r="C82" s="34" t="s">
        <v>14</v>
      </c>
      <c r="D82" s="34" t="s">
        <v>215</v>
      </c>
      <c r="E82" s="8">
        <v>44648</v>
      </c>
      <c r="F82" s="31">
        <v>44655</v>
      </c>
      <c r="G82" s="31">
        <v>44652</v>
      </c>
      <c r="H82" s="36">
        <v>5</v>
      </c>
      <c r="I82" s="34" t="s">
        <v>72</v>
      </c>
      <c r="J82" s="34" t="s">
        <v>71</v>
      </c>
      <c r="K82" s="36" t="s">
        <v>17</v>
      </c>
      <c r="L82" s="36" t="s">
        <v>44</v>
      </c>
      <c r="M82" s="36" t="s">
        <v>49</v>
      </c>
      <c r="N82" s="36" t="s">
        <v>117</v>
      </c>
      <c r="O82" s="34" t="s">
        <v>8</v>
      </c>
      <c r="P82" s="34">
        <v>7</v>
      </c>
      <c r="Q82" s="34" t="s">
        <v>20</v>
      </c>
      <c r="R82" s="34" t="s">
        <v>372</v>
      </c>
      <c r="S82" s="38" t="str">
        <f t="shared" si="1"/>
        <v>jlramirez</v>
      </c>
    </row>
    <row r="83" spans="1:19" x14ac:dyDescent="0.25">
      <c r="A83" s="34" t="s">
        <v>17</v>
      </c>
      <c r="B83" s="34">
        <v>12303347</v>
      </c>
      <c r="C83" s="34" t="s">
        <v>9</v>
      </c>
      <c r="D83" s="34" t="s">
        <v>275</v>
      </c>
      <c r="E83" s="8">
        <v>44649</v>
      </c>
      <c r="F83" s="31">
        <v>44656</v>
      </c>
      <c r="G83" s="31">
        <v>44652</v>
      </c>
      <c r="H83" s="36">
        <v>4</v>
      </c>
      <c r="I83" s="34" t="s">
        <v>72</v>
      </c>
      <c r="J83" s="34" t="s">
        <v>71</v>
      </c>
      <c r="K83" s="36" t="s">
        <v>17</v>
      </c>
      <c r="L83" s="36" t="s">
        <v>44</v>
      </c>
      <c r="M83" s="36" t="s">
        <v>47</v>
      </c>
      <c r="N83" s="36" t="s">
        <v>117</v>
      </c>
      <c r="O83" s="34" t="s">
        <v>26</v>
      </c>
      <c r="P83" s="34">
        <v>2</v>
      </c>
      <c r="Q83" s="34" t="s">
        <v>12</v>
      </c>
      <c r="R83" s="34" t="s">
        <v>231</v>
      </c>
      <c r="S83" s="38" t="str">
        <f t="shared" si="1"/>
        <v>jjleon</v>
      </c>
    </row>
    <row r="84" spans="1:19" x14ac:dyDescent="0.25">
      <c r="A84" s="34" t="s">
        <v>15</v>
      </c>
      <c r="B84" s="34">
        <v>12306450</v>
      </c>
      <c r="C84" s="34" t="s">
        <v>9</v>
      </c>
      <c r="D84" s="34" t="s">
        <v>276</v>
      </c>
      <c r="E84" s="8">
        <v>44649</v>
      </c>
      <c r="F84" s="31">
        <v>44656</v>
      </c>
      <c r="G84" s="31">
        <v>44652</v>
      </c>
      <c r="H84" s="36">
        <v>4</v>
      </c>
      <c r="I84" s="34" t="s">
        <v>72</v>
      </c>
      <c r="J84" s="34" t="s">
        <v>71</v>
      </c>
      <c r="K84" s="36" t="s">
        <v>15</v>
      </c>
      <c r="L84" s="36" t="s">
        <v>44</v>
      </c>
      <c r="M84" s="36" t="s">
        <v>47</v>
      </c>
      <c r="N84" s="36" t="s">
        <v>117</v>
      </c>
      <c r="O84" s="34" t="s">
        <v>26</v>
      </c>
      <c r="P84" s="34">
        <v>2</v>
      </c>
      <c r="Q84" s="34" t="s">
        <v>12</v>
      </c>
      <c r="R84" s="34" t="s">
        <v>232</v>
      </c>
      <c r="S84" s="38" t="str">
        <f t="shared" si="1"/>
        <v>bquirogan</v>
      </c>
    </row>
    <row r="85" spans="1:19" x14ac:dyDescent="0.25">
      <c r="A85" s="34" t="s">
        <v>17</v>
      </c>
      <c r="B85" s="34">
        <v>12307566</v>
      </c>
      <c r="C85" s="34" t="s">
        <v>9</v>
      </c>
      <c r="D85" s="34" t="s">
        <v>277</v>
      </c>
      <c r="E85" s="8">
        <v>44649</v>
      </c>
      <c r="F85" s="31">
        <v>44656</v>
      </c>
      <c r="G85" s="31">
        <v>44652</v>
      </c>
      <c r="H85" s="36">
        <v>4</v>
      </c>
      <c r="I85" s="34" t="s">
        <v>72</v>
      </c>
      <c r="J85" s="34" t="s">
        <v>71</v>
      </c>
      <c r="K85" s="36" t="s">
        <v>17</v>
      </c>
      <c r="L85" s="36" t="s">
        <v>44</v>
      </c>
      <c r="M85" s="36" t="s">
        <v>47</v>
      </c>
      <c r="N85" s="36" t="s">
        <v>117</v>
      </c>
      <c r="O85" s="34" t="s">
        <v>26</v>
      </c>
      <c r="P85" s="34">
        <v>2</v>
      </c>
      <c r="Q85" s="34" t="s">
        <v>12</v>
      </c>
      <c r="R85" s="34" t="s">
        <v>233</v>
      </c>
      <c r="S85" s="38" t="str">
        <f t="shared" si="1"/>
        <v>jjleon</v>
      </c>
    </row>
    <row r="86" spans="1:19" x14ac:dyDescent="0.25">
      <c r="A86" s="34" t="s">
        <v>15</v>
      </c>
      <c r="B86" s="34">
        <v>12307831</v>
      </c>
      <c r="C86" s="34" t="s">
        <v>9</v>
      </c>
      <c r="D86" s="34" t="s">
        <v>278</v>
      </c>
      <c r="E86" s="8">
        <v>44649</v>
      </c>
      <c r="F86" s="31">
        <v>44656</v>
      </c>
      <c r="G86" s="31">
        <v>44652</v>
      </c>
      <c r="H86" s="36">
        <v>4</v>
      </c>
      <c r="I86" s="34" t="s">
        <v>72</v>
      </c>
      <c r="J86" s="34" t="s">
        <v>71</v>
      </c>
      <c r="K86" s="36" t="s">
        <v>15</v>
      </c>
      <c r="L86" s="36" t="s">
        <v>44</v>
      </c>
      <c r="M86" s="36" t="s">
        <v>47</v>
      </c>
      <c r="N86" s="36" t="s">
        <v>117</v>
      </c>
      <c r="O86" s="34" t="s">
        <v>26</v>
      </c>
      <c r="P86" s="34">
        <v>2</v>
      </c>
      <c r="Q86" s="34" t="s">
        <v>12</v>
      </c>
      <c r="R86" s="34" t="s">
        <v>234</v>
      </c>
      <c r="S86" s="38" t="str">
        <f t="shared" si="1"/>
        <v>bquirogan</v>
      </c>
    </row>
    <row r="87" spans="1:19" x14ac:dyDescent="0.25">
      <c r="A87" s="34" t="s">
        <v>17</v>
      </c>
      <c r="B87" s="34">
        <v>12310324</v>
      </c>
      <c r="C87" s="34" t="s">
        <v>9</v>
      </c>
      <c r="D87" s="34" t="s">
        <v>279</v>
      </c>
      <c r="E87" s="8">
        <v>44649</v>
      </c>
      <c r="F87" s="31">
        <v>44656</v>
      </c>
      <c r="G87" s="31">
        <v>44652</v>
      </c>
      <c r="H87" s="36">
        <v>4</v>
      </c>
      <c r="I87" s="34" t="s">
        <v>72</v>
      </c>
      <c r="J87" s="34" t="s">
        <v>71</v>
      </c>
      <c r="K87" s="36" t="s">
        <v>17</v>
      </c>
      <c r="L87" s="36" t="s">
        <v>44</v>
      </c>
      <c r="M87" s="36" t="s">
        <v>47</v>
      </c>
      <c r="N87" s="36" t="s">
        <v>117</v>
      </c>
      <c r="O87" s="34" t="s">
        <v>26</v>
      </c>
      <c r="P87" s="34">
        <v>2</v>
      </c>
      <c r="Q87" s="34" t="s">
        <v>12</v>
      </c>
      <c r="R87" s="34" t="s">
        <v>235</v>
      </c>
      <c r="S87" s="38" t="str">
        <f t="shared" si="1"/>
        <v>jjleon</v>
      </c>
    </row>
    <row r="88" spans="1:19" x14ac:dyDescent="0.25">
      <c r="A88" s="34" t="s">
        <v>15</v>
      </c>
      <c r="B88" s="34">
        <v>12311658</v>
      </c>
      <c r="C88" s="34" t="s">
        <v>9</v>
      </c>
      <c r="D88" s="34" t="s">
        <v>280</v>
      </c>
      <c r="E88" s="8">
        <v>44649</v>
      </c>
      <c r="F88" s="31">
        <v>44656</v>
      </c>
      <c r="G88" s="31">
        <v>44652</v>
      </c>
      <c r="H88" s="36">
        <v>4</v>
      </c>
      <c r="I88" s="34" t="s">
        <v>72</v>
      </c>
      <c r="J88" s="34" t="s">
        <v>71</v>
      </c>
      <c r="K88" s="36" t="s">
        <v>15</v>
      </c>
      <c r="L88" s="36" t="s">
        <v>44</v>
      </c>
      <c r="M88" s="36" t="s">
        <v>47</v>
      </c>
      <c r="N88" s="36" t="s">
        <v>117</v>
      </c>
      <c r="O88" s="34" t="s">
        <v>26</v>
      </c>
      <c r="P88" s="34">
        <v>2</v>
      </c>
      <c r="Q88" s="34" t="s">
        <v>12</v>
      </c>
      <c r="R88" s="34" t="s">
        <v>236</v>
      </c>
      <c r="S88" s="38" t="str">
        <f t="shared" si="1"/>
        <v>bquirogan</v>
      </c>
    </row>
    <row r="89" spans="1:19" x14ac:dyDescent="0.25">
      <c r="A89" s="34" t="s">
        <v>17</v>
      </c>
      <c r="B89" s="34">
        <v>12311884</v>
      </c>
      <c r="C89" s="34" t="s">
        <v>9</v>
      </c>
      <c r="D89" s="34" t="s">
        <v>281</v>
      </c>
      <c r="E89" s="8">
        <v>44649</v>
      </c>
      <c r="F89" s="31">
        <v>44656</v>
      </c>
      <c r="G89" s="31">
        <v>44652</v>
      </c>
      <c r="H89" s="36">
        <v>4</v>
      </c>
      <c r="I89" s="34" t="s">
        <v>72</v>
      </c>
      <c r="J89" s="34" t="s">
        <v>71</v>
      </c>
      <c r="K89" s="36" t="s">
        <v>17</v>
      </c>
      <c r="L89" s="36" t="s">
        <v>44</v>
      </c>
      <c r="M89" s="36" t="s">
        <v>47</v>
      </c>
      <c r="N89" s="36" t="s">
        <v>117</v>
      </c>
      <c r="O89" s="34" t="s">
        <v>26</v>
      </c>
      <c r="P89" s="34">
        <v>2</v>
      </c>
      <c r="Q89" s="34" t="s">
        <v>12</v>
      </c>
      <c r="R89" s="34" t="s">
        <v>237</v>
      </c>
      <c r="S89" s="38" t="str">
        <f t="shared" si="1"/>
        <v>jjleon</v>
      </c>
    </row>
    <row r="90" spans="1:19" x14ac:dyDescent="0.25">
      <c r="A90" s="34" t="s">
        <v>15</v>
      </c>
      <c r="B90" s="34">
        <v>12314019</v>
      </c>
      <c r="C90" s="34" t="s">
        <v>9</v>
      </c>
      <c r="D90" s="34" t="s">
        <v>282</v>
      </c>
      <c r="E90" s="8">
        <v>44649</v>
      </c>
      <c r="F90" s="31">
        <v>44656</v>
      </c>
      <c r="G90" s="31">
        <v>44652</v>
      </c>
      <c r="H90" s="36">
        <v>4</v>
      </c>
      <c r="I90" s="34" t="s">
        <v>72</v>
      </c>
      <c r="J90" s="34" t="s">
        <v>71</v>
      </c>
      <c r="K90" s="36" t="s">
        <v>15</v>
      </c>
      <c r="L90" s="36" t="s">
        <v>44</v>
      </c>
      <c r="M90" s="36" t="s">
        <v>47</v>
      </c>
      <c r="N90" s="36" t="s">
        <v>117</v>
      </c>
      <c r="O90" s="34" t="s">
        <v>26</v>
      </c>
      <c r="P90" s="34">
        <v>2</v>
      </c>
      <c r="Q90" s="34" t="s">
        <v>12</v>
      </c>
      <c r="R90" s="34" t="s">
        <v>238</v>
      </c>
      <c r="S90" s="38" t="str">
        <f t="shared" si="1"/>
        <v>bquirogan</v>
      </c>
    </row>
    <row r="91" spans="1:19" x14ac:dyDescent="0.25">
      <c r="A91" s="34" t="s">
        <v>17</v>
      </c>
      <c r="B91" s="34">
        <v>12314490</v>
      </c>
      <c r="C91" s="34" t="s">
        <v>9</v>
      </c>
      <c r="D91" s="34" t="s">
        <v>283</v>
      </c>
      <c r="E91" s="8">
        <v>44649</v>
      </c>
      <c r="F91" s="31">
        <v>44656</v>
      </c>
      <c r="G91" s="31">
        <v>44652</v>
      </c>
      <c r="H91" s="36">
        <v>4</v>
      </c>
      <c r="I91" s="34" t="s">
        <v>72</v>
      </c>
      <c r="J91" s="34" t="s">
        <v>71</v>
      </c>
      <c r="K91" s="36" t="s">
        <v>17</v>
      </c>
      <c r="L91" s="36" t="s">
        <v>44</v>
      </c>
      <c r="M91" s="36" t="s">
        <v>47</v>
      </c>
      <c r="N91" s="36" t="s">
        <v>117</v>
      </c>
      <c r="O91" s="34" t="s">
        <v>26</v>
      </c>
      <c r="P91" s="34">
        <v>2</v>
      </c>
      <c r="Q91" s="34" t="s">
        <v>12</v>
      </c>
      <c r="R91" s="34" t="s">
        <v>239</v>
      </c>
      <c r="S91" s="38" t="str">
        <f t="shared" si="1"/>
        <v>jjleon</v>
      </c>
    </row>
    <row r="92" spans="1:19" x14ac:dyDescent="0.25">
      <c r="A92" s="34" t="s">
        <v>15</v>
      </c>
      <c r="B92" s="34">
        <v>12301789</v>
      </c>
      <c r="C92" s="34" t="s">
        <v>9</v>
      </c>
      <c r="D92" s="34" t="s">
        <v>284</v>
      </c>
      <c r="E92" s="8">
        <v>44649</v>
      </c>
      <c r="F92" s="31">
        <v>44656</v>
      </c>
      <c r="G92" s="31">
        <v>44652</v>
      </c>
      <c r="H92" s="36">
        <v>4</v>
      </c>
      <c r="I92" s="34" t="s">
        <v>72</v>
      </c>
      <c r="J92" s="34" t="s">
        <v>71</v>
      </c>
      <c r="K92" s="36" t="s">
        <v>15</v>
      </c>
      <c r="L92" s="36" t="s">
        <v>44</v>
      </c>
      <c r="M92" s="36" t="s">
        <v>47</v>
      </c>
      <c r="N92" s="36" t="s">
        <v>117</v>
      </c>
      <c r="O92" s="34" t="s">
        <v>8</v>
      </c>
      <c r="P92" s="34">
        <v>2</v>
      </c>
      <c r="Q92" s="34" t="s">
        <v>12</v>
      </c>
      <c r="R92" s="34" t="s">
        <v>240</v>
      </c>
      <c r="S92" s="38" t="str">
        <f t="shared" si="1"/>
        <v>bquirogan</v>
      </c>
    </row>
    <row r="93" spans="1:19" x14ac:dyDescent="0.25">
      <c r="A93" s="34" t="s">
        <v>17</v>
      </c>
      <c r="B93" s="34">
        <v>12311913</v>
      </c>
      <c r="C93" s="34" t="s">
        <v>9</v>
      </c>
      <c r="D93" s="34" t="s">
        <v>312</v>
      </c>
      <c r="E93" s="8">
        <v>44649</v>
      </c>
      <c r="F93" s="31">
        <v>44656</v>
      </c>
      <c r="G93" s="31">
        <v>44652</v>
      </c>
      <c r="H93" s="36">
        <v>4</v>
      </c>
      <c r="I93" s="34" t="s">
        <v>72</v>
      </c>
      <c r="J93" s="34" t="s">
        <v>71</v>
      </c>
      <c r="K93" s="36" t="s">
        <v>17</v>
      </c>
      <c r="L93" s="36" t="s">
        <v>44</v>
      </c>
      <c r="M93" s="36" t="s">
        <v>66</v>
      </c>
      <c r="N93" s="36" t="s">
        <v>117</v>
      </c>
      <c r="O93" s="34" t="s">
        <v>8</v>
      </c>
      <c r="P93" s="34">
        <v>5</v>
      </c>
      <c r="Q93" s="34" t="s">
        <v>10</v>
      </c>
      <c r="R93" s="34" t="s">
        <v>352</v>
      </c>
      <c r="S93" s="38" t="str">
        <f t="shared" si="1"/>
        <v>jjleon</v>
      </c>
    </row>
    <row r="94" spans="1:19" x14ac:dyDescent="0.25">
      <c r="A94" s="34" t="s">
        <v>17</v>
      </c>
      <c r="B94" s="34">
        <v>12313990</v>
      </c>
      <c r="C94" s="34" t="s">
        <v>9</v>
      </c>
      <c r="D94" s="34" t="s">
        <v>330</v>
      </c>
      <c r="E94" s="8">
        <v>44649</v>
      </c>
      <c r="F94" s="31">
        <v>44656</v>
      </c>
      <c r="G94" s="31">
        <v>44652</v>
      </c>
      <c r="H94" s="36">
        <v>4</v>
      </c>
      <c r="I94" s="34" t="s">
        <v>72</v>
      </c>
      <c r="J94" s="34" t="s">
        <v>71</v>
      </c>
      <c r="K94" s="36" t="s">
        <v>17</v>
      </c>
      <c r="L94" s="36" t="s">
        <v>44</v>
      </c>
      <c r="M94" s="36" t="s">
        <v>66</v>
      </c>
      <c r="N94" s="36" t="s">
        <v>117</v>
      </c>
      <c r="O94" s="34" t="s">
        <v>8</v>
      </c>
      <c r="P94" s="34">
        <v>5</v>
      </c>
      <c r="Q94" s="34" t="s">
        <v>10</v>
      </c>
      <c r="R94" s="34" t="s">
        <v>353</v>
      </c>
      <c r="S94" s="38" t="str">
        <f t="shared" si="1"/>
        <v>jjleon</v>
      </c>
    </row>
    <row r="95" spans="1:19" x14ac:dyDescent="0.25">
      <c r="A95" s="34" t="s">
        <v>21</v>
      </c>
      <c r="B95" s="34">
        <v>12313849</v>
      </c>
      <c r="C95" s="34" t="s">
        <v>14</v>
      </c>
      <c r="D95" s="34" t="s">
        <v>326</v>
      </c>
      <c r="E95" s="8">
        <v>44649</v>
      </c>
      <c r="F95" s="31">
        <v>44656</v>
      </c>
      <c r="G95" s="31">
        <v>44652</v>
      </c>
      <c r="H95" s="36">
        <v>4</v>
      </c>
      <c r="I95" s="34" t="s">
        <v>72</v>
      </c>
      <c r="J95" s="34" t="s">
        <v>71</v>
      </c>
      <c r="K95" s="36" t="s">
        <v>21</v>
      </c>
      <c r="L95" s="36" t="s">
        <v>44</v>
      </c>
      <c r="M95" s="36" t="s">
        <v>49</v>
      </c>
      <c r="N95" s="36" t="s">
        <v>117</v>
      </c>
      <c r="O95" s="34" t="s">
        <v>8</v>
      </c>
      <c r="P95" s="34">
        <v>7</v>
      </c>
      <c r="Q95" s="34" t="s">
        <v>20</v>
      </c>
      <c r="R95" s="34" t="s">
        <v>390</v>
      </c>
      <c r="S95" s="38" t="str">
        <f t="shared" si="1"/>
        <v>jlramirez</v>
      </c>
    </row>
    <row r="96" spans="1:19" x14ac:dyDescent="0.25">
      <c r="A96" s="34" t="s">
        <v>21</v>
      </c>
      <c r="B96" s="34">
        <v>12310396</v>
      </c>
      <c r="C96" s="34" t="s">
        <v>14</v>
      </c>
      <c r="D96" s="34" t="s">
        <v>306</v>
      </c>
      <c r="E96" s="8">
        <v>44649</v>
      </c>
      <c r="F96" s="31">
        <v>44656</v>
      </c>
      <c r="G96" s="31">
        <v>44652</v>
      </c>
      <c r="H96" s="36">
        <v>4</v>
      </c>
      <c r="I96" s="34" t="s">
        <v>72</v>
      </c>
      <c r="J96" s="34" t="s">
        <v>71</v>
      </c>
      <c r="K96" s="36" t="s">
        <v>21</v>
      </c>
      <c r="L96" s="36" t="s">
        <v>44</v>
      </c>
      <c r="M96" s="36" t="s">
        <v>49</v>
      </c>
      <c r="N96" s="36" t="s">
        <v>117</v>
      </c>
      <c r="O96" s="34" t="s">
        <v>8</v>
      </c>
      <c r="P96" s="34">
        <v>7</v>
      </c>
      <c r="Q96" s="34" t="s">
        <v>20</v>
      </c>
      <c r="R96" s="34" t="s">
        <v>480</v>
      </c>
      <c r="S96" s="38" t="str">
        <f t="shared" si="1"/>
        <v>jlramirez</v>
      </c>
    </row>
    <row r="97" spans="1:19" x14ac:dyDescent="0.25">
      <c r="A97" s="34" t="s">
        <v>21</v>
      </c>
      <c r="B97" s="34">
        <v>12313982</v>
      </c>
      <c r="C97" s="34" t="s">
        <v>14</v>
      </c>
      <c r="D97" s="34" t="s">
        <v>329</v>
      </c>
      <c r="E97" s="8">
        <v>44649</v>
      </c>
      <c r="F97" s="31">
        <v>44656</v>
      </c>
      <c r="G97" s="31">
        <v>44652</v>
      </c>
      <c r="H97" s="36">
        <v>4</v>
      </c>
      <c r="I97" s="34" t="s">
        <v>72</v>
      </c>
      <c r="J97" s="34" t="s">
        <v>71</v>
      </c>
      <c r="K97" s="36" t="s">
        <v>21</v>
      </c>
      <c r="L97" s="36" t="s">
        <v>44</v>
      </c>
      <c r="M97" s="36" t="s">
        <v>49</v>
      </c>
      <c r="N97" s="36" t="s">
        <v>117</v>
      </c>
      <c r="O97" s="34" t="s">
        <v>8</v>
      </c>
      <c r="P97" s="34">
        <v>7</v>
      </c>
      <c r="Q97" s="34" t="s">
        <v>20</v>
      </c>
      <c r="R97" s="34" t="s">
        <v>481</v>
      </c>
      <c r="S97" s="38" t="str">
        <f t="shared" si="1"/>
        <v>jlramirez</v>
      </c>
    </row>
    <row r="98" spans="1:19" x14ac:dyDescent="0.25">
      <c r="A98" s="34" t="s">
        <v>15</v>
      </c>
      <c r="B98" s="34">
        <v>12306597</v>
      </c>
      <c r="C98" s="34" t="s">
        <v>9</v>
      </c>
      <c r="D98" s="34" t="s">
        <v>298</v>
      </c>
      <c r="E98" s="8">
        <v>44649</v>
      </c>
      <c r="F98" s="31">
        <v>44656</v>
      </c>
      <c r="G98" s="31">
        <v>44652</v>
      </c>
      <c r="H98" s="36">
        <v>4</v>
      </c>
      <c r="I98" s="34" t="s">
        <v>72</v>
      </c>
      <c r="J98" s="34" t="s">
        <v>71</v>
      </c>
      <c r="K98" s="36" t="s">
        <v>15</v>
      </c>
      <c r="L98" s="36" t="s">
        <v>44</v>
      </c>
      <c r="M98" s="36" t="s">
        <v>49</v>
      </c>
      <c r="N98" s="36" t="s">
        <v>117</v>
      </c>
      <c r="O98" s="34" t="s">
        <v>8</v>
      </c>
      <c r="P98" s="34">
        <v>7</v>
      </c>
      <c r="Q98" s="34" t="s">
        <v>20</v>
      </c>
      <c r="R98" s="34" t="s">
        <v>501</v>
      </c>
      <c r="S98" s="38" t="str">
        <f t="shared" si="1"/>
        <v>bquirogan</v>
      </c>
    </row>
    <row r="99" spans="1:19" x14ac:dyDescent="0.25">
      <c r="A99" s="34" t="s">
        <v>137</v>
      </c>
      <c r="B99" s="34">
        <v>12305365</v>
      </c>
      <c r="C99" s="34" t="s">
        <v>14</v>
      </c>
      <c r="D99" s="34" t="s">
        <v>134</v>
      </c>
      <c r="E99" s="8">
        <v>44649</v>
      </c>
      <c r="F99" s="31">
        <v>44656</v>
      </c>
      <c r="G99" s="31">
        <v>44652</v>
      </c>
      <c r="H99" s="36">
        <v>4</v>
      </c>
      <c r="I99" s="34" t="s">
        <v>72</v>
      </c>
      <c r="J99" s="34" t="s">
        <v>71</v>
      </c>
      <c r="K99" s="36" t="s">
        <v>137</v>
      </c>
      <c r="L99" s="36" t="s">
        <v>44</v>
      </c>
      <c r="M99" s="36" t="s">
        <v>49</v>
      </c>
      <c r="N99" s="36" t="s">
        <v>117</v>
      </c>
      <c r="O99" s="34" t="s">
        <v>8</v>
      </c>
      <c r="P99" s="34">
        <v>7</v>
      </c>
      <c r="Q99" s="34" t="s">
        <v>20</v>
      </c>
      <c r="R99" s="34" t="s">
        <v>387</v>
      </c>
      <c r="S99" s="38" t="str">
        <f t="shared" si="1"/>
        <v>lsuareza</v>
      </c>
    </row>
    <row r="100" spans="1:19" x14ac:dyDescent="0.25">
      <c r="A100" s="34" t="s">
        <v>137</v>
      </c>
      <c r="B100" s="34">
        <v>12302152</v>
      </c>
      <c r="C100" s="34" t="s">
        <v>14</v>
      </c>
      <c r="D100" s="34" t="s">
        <v>287</v>
      </c>
      <c r="E100" s="8">
        <v>44649</v>
      </c>
      <c r="F100" s="31">
        <v>44656</v>
      </c>
      <c r="G100" s="31">
        <v>44652</v>
      </c>
      <c r="H100" s="36">
        <v>4</v>
      </c>
      <c r="I100" s="34" t="s">
        <v>72</v>
      </c>
      <c r="J100" s="34" t="s">
        <v>71</v>
      </c>
      <c r="K100" s="36" t="s">
        <v>137</v>
      </c>
      <c r="L100" s="36" t="s">
        <v>44</v>
      </c>
      <c r="M100" s="36" t="s">
        <v>49</v>
      </c>
      <c r="N100" s="36" t="s">
        <v>117</v>
      </c>
      <c r="O100" s="34" t="s">
        <v>8</v>
      </c>
      <c r="P100" s="34">
        <v>7</v>
      </c>
      <c r="Q100" s="34" t="s">
        <v>20</v>
      </c>
      <c r="R100" s="34" t="s">
        <v>389</v>
      </c>
      <c r="S100" s="38" t="str">
        <f t="shared" si="1"/>
        <v>lsuareza</v>
      </c>
    </row>
    <row r="101" spans="1:19" x14ac:dyDescent="0.25">
      <c r="A101" s="34" t="s">
        <v>75</v>
      </c>
      <c r="B101" s="34">
        <v>12312527</v>
      </c>
      <c r="C101" s="34" t="s">
        <v>7</v>
      </c>
      <c r="D101" s="34" t="s">
        <v>319</v>
      </c>
      <c r="E101" s="8">
        <v>44649</v>
      </c>
      <c r="F101" s="31">
        <v>44656</v>
      </c>
      <c r="G101" s="31">
        <v>44652</v>
      </c>
      <c r="H101" s="36">
        <v>4</v>
      </c>
      <c r="I101" s="34" t="s">
        <v>72</v>
      </c>
      <c r="J101" s="34" t="s">
        <v>71</v>
      </c>
      <c r="K101" s="36" t="s">
        <v>75</v>
      </c>
      <c r="L101" s="36" t="s">
        <v>44</v>
      </c>
      <c r="M101" s="36" t="s">
        <v>47</v>
      </c>
      <c r="N101" s="36" t="s">
        <v>117</v>
      </c>
      <c r="O101" s="34" t="s">
        <v>8</v>
      </c>
      <c r="P101" s="34">
        <v>2</v>
      </c>
      <c r="Q101" s="34" t="s">
        <v>12</v>
      </c>
      <c r="R101" s="34" t="s">
        <v>510</v>
      </c>
      <c r="S101" s="38" t="str">
        <f t="shared" si="1"/>
        <v>lsierrac</v>
      </c>
    </row>
    <row r="102" spans="1:19" x14ac:dyDescent="0.25">
      <c r="A102" s="34" t="s">
        <v>17</v>
      </c>
      <c r="B102" s="34">
        <v>12301843</v>
      </c>
      <c r="C102" s="34" t="s">
        <v>9</v>
      </c>
      <c r="D102" s="34" t="s">
        <v>286</v>
      </c>
      <c r="E102" s="8">
        <v>44649</v>
      </c>
      <c r="F102" s="31">
        <v>44656</v>
      </c>
      <c r="G102" s="31">
        <v>44652</v>
      </c>
      <c r="H102" s="36">
        <v>4</v>
      </c>
      <c r="I102" s="34" t="s">
        <v>72</v>
      </c>
      <c r="J102" s="34" t="s">
        <v>71</v>
      </c>
      <c r="K102" s="36" t="s">
        <v>17</v>
      </c>
      <c r="L102" s="36" t="s">
        <v>44</v>
      </c>
      <c r="M102" s="36" t="s">
        <v>49</v>
      </c>
      <c r="N102" s="36" t="s">
        <v>117</v>
      </c>
      <c r="O102" s="34" t="s">
        <v>8</v>
      </c>
      <c r="P102" s="34">
        <v>7</v>
      </c>
      <c r="Q102" s="34" t="s">
        <v>20</v>
      </c>
      <c r="R102" s="34" t="s">
        <v>511</v>
      </c>
      <c r="S102" s="38" t="str">
        <f t="shared" si="1"/>
        <v>jjleon</v>
      </c>
    </row>
    <row r="103" spans="1:19" x14ac:dyDescent="0.25">
      <c r="A103" s="34" t="s">
        <v>17</v>
      </c>
      <c r="B103" s="34">
        <v>12303513</v>
      </c>
      <c r="C103" s="34" t="s">
        <v>9</v>
      </c>
      <c r="D103" s="34" t="s">
        <v>288</v>
      </c>
      <c r="E103" s="8">
        <v>44649</v>
      </c>
      <c r="F103" s="31">
        <v>44656</v>
      </c>
      <c r="G103" s="31">
        <v>44652</v>
      </c>
      <c r="H103" s="36">
        <v>4</v>
      </c>
      <c r="I103" s="34" t="s">
        <v>72</v>
      </c>
      <c r="J103" s="34" t="s">
        <v>71</v>
      </c>
      <c r="K103" s="36" t="s">
        <v>17</v>
      </c>
      <c r="L103" s="36" t="s">
        <v>44</v>
      </c>
      <c r="M103" s="36" t="s">
        <v>49</v>
      </c>
      <c r="N103" s="36" t="s">
        <v>117</v>
      </c>
      <c r="O103" s="34" t="s">
        <v>8</v>
      </c>
      <c r="P103" s="34">
        <v>7</v>
      </c>
      <c r="Q103" s="34" t="s">
        <v>20</v>
      </c>
      <c r="R103" s="34" t="s">
        <v>513</v>
      </c>
      <c r="S103" s="38" t="str">
        <f t="shared" si="1"/>
        <v>jjleon</v>
      </c>
    </row>
    <row r="104" spans="1:19" x14ac:dyDescent="0.25">
      <c r="A104" s="34" t="s">
        <v>17</v>
      </c>
      <c r="B104" s="34">
        <v>12303883</v>
      </c>
      <c r="C104" s="34" t="s">
        <v>9</v>
      </c>
      <c r="D104" s="34" t="s">
        <v>290</v>
      </c>
      <c r="E104" s="8">
        <v>44649</v>
      </c>
      <c r="F104" s="31">
        <v>44656</v>
      </c>
      <c r="G104" s="31">
        <v>44652</v>
      </c>
      <c r="H104" s="36">
        <v>4</v>
      </c>
      <c r="I104" s="34" t="s">
        <v>72</v>
      </c>
      <c r="J104" s="34" t="s">
        <v>71</v>
      </c>
      <c r="K104" s="36" t="s">
        <v>17</v>
      </c>
      <c r="L104" s="36" t="s">
        <v>44</v>
      </c>
      <c r="M104" s="36" t="s">
        <v>49</v>
      </c>
      <c r="N104" s="36" t="s">
        <v>117</v>
      </c>
      <c r="O104" s="34" t="s">
        <v>8</v>
      </c>
      <c r="P104" s="34">
        <v>7</v>
      </c>
      <c r="Q104" s="34" t="s">
        <v>20</v>
      </c>
      <c r="R104" s="34" t="s">
        <v>515</v>
      </c>
      <c r="S104" s="38" t="str">
        <f t="shared" si="1"/>
        <v>jjleon</v>
      </c>
    </row>
    <row r="105" spans="1:19" x14ac:dyDescent="0.25">
      <c r="A105" s="34" t="s">
        <v>17</v>
      </c>
      <c r="B105" s="34">
        <v>12307359</v>
      </c>
      <c r="C105" s="34" t="s">
        <v>9</v>
      </c>
      <c r="D105" s="34" t="s">
        <v>300</v>
      </c>
      <c r="E105" s="8">
        <v>44649</v>
      </c>
      <c r="F105" s="31">
        <v>44656</v>
      </c>
      <c r="G105" s="31">
        <v>44652</v>
      </c>
      <c r="H105" s="36">
        <v>4</v>
      </c>
      <c r="I105" s="34" t="s">
        <v>72</v>
      </c>
      <c r="J105" s="34" t="s">
        <v>71</v>
      </c>
      <c r="K105" s="36" t="s">
        <v>17</v>
      </c>
      <c r="L105" s="36" t="s">
        <v>44</v>
      </c>
      <c r="M105" s="36" t="s">
        <v>49</v>
      </c>
      <c r="N105" s="36" t="s">
        <v>117</v>
      </c>
      <c r="O105" s="34" t="s">
        <v>8</v>
      </c>
      <c r="P105" s="34">
        <v>7</v>
      </c>
      <c r="Q105" s="34" t="s">
        <v>20</v>
      </c>
      <c r="R105" s="34" t="s">
        <v>521</v>
      </c>
      <c r="S105" s="38" t="str">
        <f t="shared" si="1"/>
        <v>jjleon</v>
      </c>
    </row>
    <row r="106" spans="1:19" x14ac:dyDescent="0.25">
      <c r="A106" s="34" t="s">
        <v>17</v>
      </c>
      <c r="B106" s="34">
        <v>12307627</v>
      </c>
      <c r="C106" s="34" t="s">
        <v>9</v>
      </c>
      <c r="D106" s="34" t="s">
        <v>301</v>
      </c>
      <c r="E106" s="8">
        <v>44649</v>
      </c>
      <c r="F106" s="31">
        <v>44656</v>
      </c>
      <c r="G106" s="31">
        <v>44652</v>
      </c>
      <c r="H106" s="36">
        <v>4</v>
      </c>
      <c r="I106" s="34" t="s">
        <v>72</v>
      </c>
      <c r="J106" s="34" t="s">
        <v>71</v>
      </c>
      <c r="K106" s="36" t="s">
        <v>17</v>
      </c>
      <c r="L106" s="36" t="s">
        <v>44</v>
      </c>
      <c r="M106" s="36" t="s">
        <v>49</v>
      </c>
      <c r="N106" s="36" t="s">
        <v>117</v>
      </c>
      <c r="O106" s="34" t="s">
        <v>8</v>
      </c>
      <c r="P106" s="34">
        <v>7</v>
      </c>
      <c r="Q106" s="34" t="s">
        <v>20</v>
      </c>
      <c r="R106" s="34" t="s">
        <v>531</v>
      </c>
      <c r="S106" s="38" t="str">
        <f t="shared" si="1"/>
        <v>jjleon</v>
      </c>
    </row>
    <row r="107" spans="1:19" x14ac:dyDescent="0.25">
      <c r="A107" s="34" t="s">
        <v>23</v>
      </c>
      <c r="B107" s="34">
        <v>12302951</v>
      </c>
      <c r="C107" s="34" t="s">
        <v>9</v>
      </c>
      <c r="D107" s="34" t="s">
        <v>285</v>
      </c>
      <c r="E107" s="8">
        <v>44649</v>
      </c>
      <c r="F107" s="31">
        <v>44656</v>
      </c>
      <c r="G107" s="31">
        <v>44652</v>
      </c>
      <c r="H107" s="36">
        <v>4</v>
      </c>
      <c r="I107" s="34" t="s">
        <v>72</v>
      </c>
      <c r="J107" s="34" t="s">
        <v>71</v>
      </c>
      <c r="K107" s="36" t="s">
        <v>23</v>
      </c>
      <c r="L107" s="36" t="s">
        <v>44</v>
      </c>
      <c r="M107" s="36" t="s">
        <v>50</v>
      </c>
      <c r="N107" s="36" t="s">
        <v>117</v>
      </c>
      <c r="O107" s="34" t="s">
        <v>8</v>
      </c>
      <c r="P107" s="34">
        <v>6</v>
      </c>
      <c r="Q107" s="34" t="s">
        <v>19</v>
      </c>
      <c r="R107" s="34" t="s">
        <v>541</v>
      </c>
      <c r="S107" s="38" t="str">
        <f t="shared" si="1"/>
        <v>pgcastillo</v>
      </c>
    </row>
    <row r="108" spans="1:19" x14ac:dyDescent="0.25">
      <c r="A108" s="34" t="s">
        <v>17</v>
      </c>
      <c r="B108" s="34">
        <v>12307953</v>
      </c>
      <c r="C108" s="34" t="s">
        <v>9</v>
      </c>
      <c r="D108" s="34" t="s">
        <v>302</v>
      </c>
      <c r="E108" s="8">
        <v>44649</v>
      </c>
      <c r="F108" s="31">
        <v>44656</v>
      </c>
      <c r="G108" s="31">
        <v>44652</v>
      </c>
      <c r="H108" s="36">
        <v>4</v>
      </c>
      <c r="I108" s="34" t="s">
        <v>72</v>
      </c>
      <c r="J108" s="34" t="s">
        <v>71</v>
      </c>
      <c r="K108" s="36" t="s">
        <v>17</v>
      </c>
      <c r="L108" s="36" t="s">
        <v>44</v>
      </c>
      <c r="M108" s="36" t="s">
        <v>49</v>
      </c>
      <c r="N108" s="36" t="s">
        <v>117</v>
      </c>
      <c r="O108" s="34" t="s">
        <v>8</v>
      </c>
      <c r="P108" s="34">
        <v>7</v>
      </c>
      <c r="Q108" s="34" t="s">
        <v>20</v>
      </c>
      <c r="R108" s="34" t="s">
        <v>542</v>
      </c>
      <c r="S108" s="38" t="str">
        <f t="shared" si="1"/>
        <v>jjleon</v>
      </c>
    </row>
    <row r="109" spans="1:19" x14ac:dyDescent="0.25">
      <c r="A109" s="34" t="s">
        <v>23</v>
      </c>
      <c r="B109" s="34">
        <v>12309041</v>
      </c>
      <c r="C109" s="34" t="s">
        <v>9</v>
      </c>
      <c r="D109" s="34" t="s">
        <v>303</v>
      </c>
      <c r="E109" s="8">
        <v>44649</v>
      </c>
      <c r="F109" s="31">
        <v>44656</v>
      </c>
      <c r="G109" s="31">
        <v>44652</v>
      </c>
      <c r="H109" s="36">
        <v>4</v>
      </c>
      <c r="I109" s="34" t="s">
        <v>72</v>
      </c>
      <c r="J109" s="34" t="s">
        <v>71</v>
      </c>
      <c r="K109" s="36" t="s">
        <v>23</v>
      </c>
      <c r="L109" s="36" t="s">
        <v>44</v>
      </c>
      <c r="M109" s="36" t="s">
        <v>50</v>
      </c>
      <c r="N109" s="36" t="s">
        <v>117</v>
      </c>
      <c r="O109" s="34" t="s">
        <v>8</v>
      </c>
      <c r="P109" s="34">
        <v>6</v>
      </c>
      <c r="Q109" s="34" t="s">
        <v>19</v>
      </c>
      <c r="R109" s="34" t="s">
        <v>543</v>
      </c>
      <c r="S109" s="38" t="str">
        <f t="shared" si="1"/>
        <v>pgcastillo</v>
      </c>
    </row>
    <row r="110" spans="1:19" x14ac:dyDescent="0.25">
      <c r="A110" s="34" t="s">
        <v>15</v>
      </c>
      <c r="B110" s="34">
        <v>12303880</v>
      </c>
      <c r="C110" s="34" t="s">
        <v>9</v>
      </c>
      <c r="D110" s="34" t="s">
        <v>289</v>
      </c>
      <c r="E110" s="8">
        <v>44649</v>
      </c>
      <c r="F110" s="31">
        <v>44656</v>
      </c>
      <c r="G110" s="31">
        <v>44652</v>
      </c>
      <c r="H110" s="36">
        <v>4</v>
      </c>
      <c r="I110" s="34" t="s">
        <v>72</v>
      </c>
      <c r="J110" s="34" t="s">
        <v>71</v>
      </c>
      <c r="K110" s="36" t="s">
        <v>15</v>
      </c>
      <c r="L110" s="36" t="s">
        <v>44</v>
      </c>
      <c r="M110" s="36" t="s">
        <v>47</v>
      </c>
      <c r="N110" s="36" t="s">
        <v>117</v>
      </c>
      <c r="O110" s="34" t="s">
        <v>8</v>
      </c>
      <c r="P110" s="34">
        <v>2</v>
      </c>
      <c r="Q110" s="34" t="s">
        <v>12</v>
      </c>
      <c r="R110" s="34" t="s">
        <v>241</v>
      </c>
      <c r="S110" s="38" t="str">
        <f t="shared" si="1"/>
        <v>bquirogan</v>
      </c>
    </row>
    <row r="111" spans="1:19" x14ac:dyDescent="0.25">
      <c r="A111" s="34" t="s">
        <v>15</v>
      </c>
      <c r="B111" s="34">
        <v>12304100</v>
      </c>
      <c r="C111" s="34" t="s">
        <v>9</v>
      </c>
      <c r="D111" s="34" t="s">
        <v>291</v>
      </c>
      <c r="E111" s="8">
        <v>44649</v>
      </c>
      <c r="F111" s="31">
        <v>44656</v>
      </c>
      <c r="G111" s="31">
        <v>44652</v>
      </c>
      <c r="H111" s="36">
        <v>4</v>
      </c>
      <c r="I111" s="34" t="s">
        <v>72</v>
      </c>
      <c r="J111" s="34" t="s">
        <v>71</v>
      </c>
      <c r="K111" s="36" t="s">
        <v>15</v>
      </c>
      <c r="L111" s="36" t="s">
        <v>44</v>
      </c>
      <c r="M111" s="36" t="s">
        <v>47</v>
      </c>
      <c r="N111" s="36" t="s">
        <v>117</v>
      </c>
      <c r="O111" s="34" t="s">
        <v>8</v>
      </c>
      <c r="P111" s="34">
        <v>2</v>
      </c>
      <c r="Q111" s="34" t="s">
        <v>12</v>
      </c>
      <c r="R111" s="34" t="s">
        <v>242</v>
      </c>
      <c r="S111" s="38" t="str">
        <f t="shared" si="1"/>
        <v>bquirogan</v>
      </c>
    </row>
    <row r="112" spans="1:19" x14ac:dyDescent="0.25">
      <c r="A112" s="34" t="s">
        <v>15</v>
      </c>
      <c r="B112" s="34">
        <v>12255496</v>
      </c>
      <c r="C112" s="34" t="s">
        <v>9</v>
      </c>
      <c r="D112" s="34" t="s">
        <v>163</v>
      </c>
      <c r="E112" s="8">
        <v>44649</v>
      </c>
      <c r="F112" s="31">
        <v>44656</v>
      </c>
      <c r="G112" s="31">
        <v>44652</v>
      </c>
      <c r="H112" s="36">
        <v>4</v>
      </c>
      <c r="I112" s="34" t="s">
        <v>72</v>
      </c>
      <c r="J112" s="34" t="s">
        <v>71</v>
      </c>
      <c r="K112" s="36" t="s">
        <v>15</v>
      </c>
      <c r="L112" s="36" t="s">
        <v>44</v>
      </c>
      <c r="M112" s="36" t="s">
        <v>47</v>
      </c>
      <c r="N112" s="36" t="s">
        <v>117</v>
      </c>
      <c r="O112" s="34" t="s">
        <v>8</v>
      </c>
      <c r="P112" s="34">
        <v>2</v>
      </c>
      <c r="Q112" s="34" t="s">
        <v>12</v>
      </c>
      <c r="R112" s="34" t="s">
        <v>243</v>
      </c>
      <c r="S112" s="38" t="str">
        <f t="shared" si="1"/>
        <v>bquirogan</v>
      </c>
    </row>
    <row r="113" spans="1:19" x14ac:dyDescent="0.25">
      <c r="A113" s="34" t="s">
        <v>15</v>
      </c>
      <c r="B113" s="34">
        <v>12304713</v>
      </c>
      <c r="C113" s="34" t="s">
        <v>9</v>
      </c>
      <c r="D113" s="34" t="s">
        <v>293</v>
      </c>
      <c r="E113" s="8">
        <v>44649</v>
      </c>
      <c r="F113" s="31">
        <v>44656</v>
      </c>
      <c r="G113" s="31">
        <v>44652</v>
      </c>
      <c r="H113" s="36">
        <v>4</v>
      </c>
      <c r="I113" s="34" t="s">
        <v>72</v>
      </c>
      <c r="J113" s="34" t="s">
        <v>71</v>
      </c>
      <c r="K113" s="36" t="s">
        <v>15</v>
      </c>
      <c r="L113" s="36" t="s">
        <v>44</v>
      </c>
      <c r="M113" s="36" t="s">
        <v>47</v>
      </c>
      <c r="N113" s="36" t="s">
        <v>117</v>
      </c>
      <c r="O113" s="34" t="s">
        <v>8</v>
      </c>
      <c r="P113" s="34">
        <v>2</v>
      </c>
      <c r="Q113" s="34" t="s">
        <v>12</v>
      </c>
      <c r="R113" s="34" t="s">
        <v>244</v>
      </c>
      <c r="S113" s="38" t="str">
        <f t="shared" si="1"/>
        <v>bquirogan</v>
      </c>
    </row>
    <row r="114" spans="1:19" x14ac:dyDescent="0.25">
      <c r="A114" s="34" t="s">
        <v>17</v>
      </c>
      <c r="B114" s="34">
        <v>12305012</v>
      </c>
      <c r="C114" s="34" t="s">
        <v>9</v>
      </c>
      <c r="D114" s="34" t="s">
        <v>294</v>
      </c>
      <c r="E114" s="8">
        <v>44649</v>
      </c>
      <c r="F114" s="31">
        <v>44656</v>
      </c>
      <c r="G114" s="31">
        <v>44652</v>
      </c>
      <c r="H114" s="36">
        <v>4</v>
      </c>
      <c r="I114" s="34" t="s">
        <v>72</v>
      </c>
      <c r="J114" s="34" t="s">
        <v>71</v>
      </c>
      <c r="K114" s="36" t="s">
        <v>17</v>
      </c>
      <c r="L114" s="36" t="s">
        <v>44</v>
      </c>
      <c r="M114" s="36" t="s">
        <v>47</v>
      </c>
      <c r="N114" s="36" t="s">
        <v>117</v>
      </c>
      <c r="O114" s="34" t="s">
        <v>8</v>
      </c>
      <c r="P114" s="34">
        <v>2</v>
      </c>
      <c r="Q114" s="34" t="s">
        <v>12</v>
      </c>
      <c r="R114" s="34" t="s">
        <v>245</v>
      </c>
      <c r="S114" s="38" t="str">
        <f t="shared" si="1"/>
        <v>jjleon</v>
      </c>
    </row>
    <row r="115" spans="1:19" x14ac:dyDescent="0.25">
      <c r="A115" s="34" t="s">
        <v>15</v>
      </c>
      <c r="B115" s="34">
        <v>12305527</v>
      </c>
      <c r="C115" s="34" t="s">
        <v>9</v>
      </c>
      <c r="D115" s="34" t="s">
        <v>295</v>
      </c>
      <c r="E115" s="8">
        <v>44649</v>
      </c>
      <c r="F115" s="31">
        <v>44656</v>
      </c>
      <c r="G115" s="31">
        <v>44652</v>
      </c>
      <c r="H115" s="36">
        <v>4</v>
      </c>
      <c r="I115" s="34" t="s">
        <v>72</v>
      </c>
      <c r="J115" s="34" t="s">
        <v>71</v>
      </c>
      <c r="K115" s="36" t="s">
        <v>15</v>
      </c>
      <c r="L115" s="36" t="s">
        <v>44</v>
      </c>
      <c r="M115" s="36" t="s">
        <v>47</v>
      </c>
      <c r="N115" s="36" t="s">
        <v>117</v>
      </c>
      <c r="O115" s="34" t="s">
        <v>8</v>
      </c>
      <c r="P115" s="34">
        <v>2</v>
      </c>
      <c r="Q115" s="34" t="s">
        <v>12</v>
      </c>
      <c r="R115" s="34" t="s">
        <v>246</v>
      </c>
      <c r="S115" s="38" t="str">
        <f t="shared" si="1"/>
        <v>bquirogan</v>
      </c>
    </row>
    <row r="116" spans="1:19" x14ac:dyDescent="0.25">
      <c r="A116" s="34" t="s">
        <v>17</v>
      </c>
      <c r="B116" s="34">
        <v>12305640</v>
      </c>
      <c r="C116" s="34" t="s">
        <v>9</v>
      </c>
      <c r="D116" s="34" t="s">
        <v>296</v>
      </c>
      <c r="E116" s="8">
        <v>44649</v>
      </c>
      <c r="F116" s="31">
        <v>44656</v>
      </c>
      <c r="G116" s="31">
        <v>44652</v>
      </c>
      <c r="H116" s="36">
        <v>4</v>
      </c>
      <c r="I116" s="34" t="s">
        <v>72</v>
      </c>
      <c r="J116" s="34" t="s">
        <v>71</v>
      </c>
      <c r="K116" s="36" t="s">
        <v>17</v>
      </c>
      <c r="L116" s="36" t="s">
        <v>44</v>
      </c>
      <c r="M116" s="36" t="s">
        <v>47</v>
      </c>
      <c r="N116" s="36" t="s">
        <v>117</v>
      </c>
      <c r="O116" s="34" t="s">
        <v>8</v>
      </c>
      <c r="P116" s="34">
        <v>2</v>
      </c>
      <c r="Q116" s="34" t="s">
        <v>12</v>
      </c>
      <c r="R116" s="34" t="s">
        <v>248</v>
      </c>
      <c r="S116" s="38" t="str">
        <f t="shared" si="1"/>
        <v>jjleon</v>
      </c>
    </row>
    <row r="117" spans="1:19" x14ac:dyDescent="0.25">
      <c r="A117" s="34" t="s">
        <v>17</v>
      </c>
      <c r="B117" s="34">
        <v>12138759</v>
      </c>
      <c r="C117" s="34" t="s">
        <v>7</v>
      </c>
      <c r="D117" s="34" t="s">
        <v>297</v>
      </c>
      <c r="E117" s="8">
        <v>44649</v>
      </c>
      <c r="F117" s="31">
        <v>44656</v>
      </c>
      <c r="G117" s="31">
        <v>44652</v>
      </c>
      <c r="H117" s="36">
        <v>4</v>
      </c>
      <c r="I117" s="34" t="s">
        <v>72</v>
      </c>
      <c r="J117" s="34" t="s">
        <v>71</v>
      </c>
      <c r="K117" s="36" t="s">
        <v>17</v>
      </c>
      <c r="L117" s="36" t="s">
        <v>44</v>
      </c>
      <c r="M117" s="36" t="s">
        <v>47</v>
      </c>
      <c r="N117" s="36" t="s">
        <v>117</v>
      </c>
      <c r="O117" s="34" t="s">
        <v>8</v>
      </c>
      <c r="P117" s="34">
        <v>2</v>
      </c>
      <c r="Q117" s="34" t="s">
        <v>12</v>
      </c>
      <c r="R117" s="34" t="s">
        <v>249</v>
      </c>
      <c r="S117" s="38" t="str">
        <f t="shared" si="1"/>
        <v>jjleon</v>
      </c>
    </row>
    <row r="118" spans="1:19" x14ac:dyDescent="0.25">
      <c r="A118" s="34" t="s">
        <v>15</v>
      </c>
      <c r="B118" s="34">
        <v>12307238</v>
      </c>
      <c r="C118" s="34" t="s">
        <v>9</v>
      </c>
      <c r="D118" s="34" t="s">
        <v>299</v>
      </c>
      <c r="E118" s="8">
        <v>44649</v>
      </c>
      <c r="F118" s="31">
        <v>44656</v>
      </c>
      <c r="G118" s="31">
        <v>44652</v>
      </c>
      <c r="H118" s="36">
        <v>4</v>
      </c>
      <c r="I118" s="34" t="s">
        <v>72</v>
      </c>
      <c r="J118" s="34" t="s">
        <v>71</v>
      </c>
      <c r="K118" s="36" t="s">
        <v>15</v>
      </c>
      <c r="L118" s="36" t="s">
        <v>44</v>
      </c>
      <c r="M118" s="36" t="s">
        <v>47</v>
      </c>
      <c r="N118" s="36" t="s">
        <v>117</v>
      </c>
      <c r="O118" s="34" t="s">
        <v>8</v>
      </c>
      <c r="P118" s="34">
        <v>2</v>
      </c>
      <c r="Q118" s="34" t="s">
        <v>12</v>
      </c>
      <c r="R118" s="34" t="s">
        <v>250</v>
      </c>
      <c r="S118" s="38" t="str">
        <f t="shared" si="1"/>
        <v>bquirogan</v>
      </c>
    </row>
    <row r="119" spans="1:19" x14ac:dyDescent="0.25">
      <c r="A119" s="34" t="s">
        <v>23</v>
      </c>
      <c r="B119" s="34">
        <v>12287034</v>
      </c>
      <c r="C119" s="34" t="s">
        <v>9</v>
      </c>
      <c r="D119" s="34" t="s">
        <v>201</v>
      </c>
      <c r="E119" s="8">
        <v>44649</v>
      </c>
      <c r="F119" s="31">
        <v>44656</v>
      </c>
      <c r="G119" s="31">
        <v>44652</v>
      </c>
      <c r="H119" s="36">
        <v>4</v>
      </c>
      <c r="I119" s="34" t="s">
        <v>72</v>
      </c>
      <c r="J119" s="34" t="s">
        <v>71</v>
      </c>
      <c r="K119" s="36" t="s">
        <v>23</v>
      </c>
      <c r="L119" s="36" t="s">
        <v>44</v>
      </c>
      <c r="M119" s="36" t="s">
        <v>50</v>
      </c>
      <c r="N119" s="36" t="s">
        <v>117</v>
      </c>
      <c r="O119" s="34" t="s">
        <v>8</v>
      </c>
      <c r="P119" s="34">
        <v>6</v>
      </c>
      <c r="Q119" s="34" t="s">
        <v>19</v>
      </c>
      <c r="R119" s="34" t="s">
        <v>251</v>
      </c>
      <c r="S119" s="38" t="str">
        <f t="shared" si="1"/>
        <v>pgcastillo</v>
      </c>
    </row>
    <row r="120" spans="1:19" x14ac:dyDescent="0.25">
      <c r="A120" s="34" t="s">
        <v>15</v>
      </c>
      <c r="B120" s="34">
        <v>12310145</v>
      </c>
      <c r="C120" s="34" t="s">
        <v>9</v>
      </c>
      <c r="D120" s="34" t="s">
        <v>305</v>
      </c>
      <c r="E120" s="8">
        <v>44649</v>
      </c>
      <c r="F120" s="31">
        <v>44656</v>
      </c>
      <c r="G120" s="31">
        <v>44652</v>
      </c>
      <c r="H120" s="36">
        <v>4</v>
      </c>
      <c r="I120" s="34" t="s">
        <v>72</v>
      </c>
      <c r="J120" s="34" t="s">
        <v>71</v>
      </c>
      <c r="K120" s="36" t="s">
        <v>15</v>
      </c>
      <c r="L120" s="36" t="s">
        <v>44</v>
      </c>
      <c r="M120" s="36" t="s">
        <v>47</v>
      </c>
      <c r="N120" s="36" t="s">
        <v>117</v>
      </c>
      <c r="O120" s="34" t="s">
        <v>8</v>
      </c>
      <c r="P120" s="34">
        <v>2</v>
      </c>
      <c r="Q120" s="34" t="s">
        <v>12</v>
      </c>
      <c r="R120" s="34" t="s">
        <v>252</v>
      </c>
      <c r="S120" s="38" t="str">
        <f t="shared" si="1"/>
        <v>bquirogan</v>
      </c>
    </row>
    <row r="121" spans="1:19" x14ac:dyDescent="0.25">
      <c r="A121" s="34" t="s">
        <v>15</v>
      </c>
      <c r="B121" s="34">
        <v>12310514</v>
      </c>
      <c r="C121" s="34" t="s">
        <v>9</v>
      </c>
      <c r="D121" s="34" t="s">
        <v>307</v>
      </c>
      <c r="E121" s="8">
        <v>44649</v>
      </c>
      <c r="F121" s="31">
        <v>44656</v>
      </c>
      <c r="G121" s="31">
        <v>44652</v>
      </c>
      <c r="H121" s="36">
        <v>4</v>
      </c>
      <c r="I121" s="34" t="s">
        <v>72</v>
      </c>
      <c r="J121" s="34" t="s">
        <v>71</v>
      </c>
      <c r="K121" s="36" t="s">
        <v>15</v>
      </c>
      <c r="L121" s="36" t="s">
        <v>44</v>
      </c>
      <c r="M121" s="36" t="s">
        <v>47</v>
      </c>
      <c r="N121" s="36" t="s">
        <v>117</v>
      </c>
      <c r="O121" s="34" t="s">
        <v>8</v>
      </c>
      <c r="P121" s="34">
        <v>2</v>
      </c>
      <c r="Q121" s="34" t="s">
        <v>12</v>
      </c>
      <c r="R121" s="34" t="s">
        <v>253</v>
      </c>
      <c r="S121" s="38" t="str">
        <f t="shared" si="1"/>
        <v>bquirogan</v>
      </c>
    </row>
    <row r="122" spans="1:19" x14ac:dyDescent="0.25">
      <c r="A122" s="34" t="s">
        <v>17</v>
      </c>
      <c r="B122" s="34">
        <v>12310536</v>
      </c>
      <c r="C122" s="34" t="s">
        <v>9</v>
      </c>
      <c r="D122" s="34" t="s">
        <v>308</v>
      </c>
      <c r="E122" s="8">
        <v>44649</v>
      </c>
      <c r="F122" s="31">
        <v>44656</v>
      </c>
      <c r="G122" s="31">
        <v>44652</v>
      </c>
      <c r="H122" s="36">
        <v>4</v>
      </c>
      <c r="I122" s="34" t="s">
        <v>72</v>
      </c>
      <c r="J122" s="34" t="s">
        <v>71</v>
      </c>
      <c r="K122" s="36" t="s">
        <v>17</v>
      </c>
      <c r="L122" s="36" t="s">
        <v>44</v>
      </c>
      <c r="M122" s="36" t="s">
        <v>47</v>
      </c>
      <c r="N122" s="36" t="s">
        <v>117</v>
      </c>
      <c r="O122" s="34" t="s">
        <v>8</v>
      </c>
      <c r="P122" s="34">
        <v>2</v>
      </c>
      <c r="Q122" s="34" t="s">
        <v>12</v>
      </c>
      <c r="R122" s="34" t="s">
        <v>254</v>
      </c>
      <c r="S122" s="38" t="str">
        <f t="shared" si="1"/>
        <v>jjleon</v>
      </c>
    </row>
    <row r="123" spans="1:19" x14ac:dyDescent="0.25">
      <c r="A123" s="34" t="s">
        <v>15</v>
      </c>
      <c r="B123" s="34">
        <v>12311328</v>
      </c>
      <c r="C123" s="34" t="s">
        <v>9</v>
      </c>
      <c r="D123" s="34" t="s">
        <v>310</v>
      </c>
      <c r="E123" s="8">
        <v>44649</v>
      </c>
      <c r="F123" s="31">
        <v>44656</v>
      </c>
      <c r="G123" s="31">
        <v>44652</v>
      </c>
      <c r="H123" s="36">
        <v>4</v>
      </c>
      <c r="I123" s="34" t="s">
        <v>72</v>
      </c>
      <c r="J123" s="34" t="s">
        <v>71</v>
      </c>
      <c r="K123" s="36" t="s">
        <v>15</v>
      </c>
      <c r="L123" s="36" t="s">
        <v>44</v>
      </c>
      <c r="M123" s="36" t="s">
        <v>47</v>
      </c>
      <c r="N123" s="36" t="s">
        <v>117</v>
      </c>
      <c r="O123" s="34" t="s">
        <v>8</v>
      </c>
      <c r="P123" s="34">
        <v>2</v>
      </c>
      <c r="Q123" s="34" t="s">
        <v>12</v>
      </c>
      <c r="R123" s="34" t="s">
        <v>255</v>
      </c>
      <c r="S123" s="38" t="str">
        <f t="shared" si="1"/>
        <v>bquirogan</v>
      </c>
    </row>
    <row r="124" spans="1:19" x14ac:dyDescent="0.25">
      <c r="A124" s="34" t="s">
        <v>17</v>
      </c>
      <c r="B124" s="34">
        <v>12311436</v>
      </c>
      <c r="C124" s="34" t="s">
        <v>9</v>
      </c>
      <c r="D124" s="34" t="s">
        <v>311</v>
      </c>
      <c r="E124" s="8">
        <v>44649</v>
      </c>
      <c r="F124" s="31">
        <v>44656</v>
      </c>
      <c r="G124" s="31">
        <v>44652</v>
      </c>
      <c r="H124" s="36">
        <v>4</v>
      </c>
      <c r="I124" s="34" t="s">
        <v>72</v>
      </c>
      <c r="J124" s="34" t="s">
        <v>71</v>
      </c>
      <c r="K124" s="36" t="s">
        <v>17</v>
      </c>
      <c r="L124" s="36" t="s">
        <v>44</v>
      </c>
      <c r="M124" s="36" t="s">
        <v>47</v>
      </c>
      <c r="N124" s="36" t="s">
        <v>117</v>
      </c>
      <c r="O124" s="34" t="s">
        <v>8</v>
      </c>
      <c r="P124" s="34">
        <v>2</v>
      </c>
      <c r="Q124" s="34" t="s">
        <v>12</v>
      </c>
      <c r="R124" s="34" t="s">
        <v>256</v>
      </c>
      <c r="S124" s="38" t="str">
        <f t="shared" si="1"/>
        <v>jjleon</v>
      </c>
    </row>
    <row r="125" spans="1:19" x14ac:dyDescent="0.25">
      <c r="A125" s="34" t="s">
        <v>15</v>
      </c>
      <c r="B125" s="34">
        <v>12312361</v>
      </c>
      <c r="C125" s="34" t="s">
        <v>9</v>
      </c>
      <c r="D125" s="34" t="s">
        <v>313</v>
      </c>
      <c r="E125" s="8">
        <v>44649</v>
      </c>
      <c r="F125" s="31">
        <v>44656</v>
      </c>
      <c r="G125" s="31">
        <v>44652</v>
      </c>
      <c r="H125" s="36">
        <v>4</v>
      </c>
      <c r="I125" s="34" t="s">
        <v>72</v>
      </c>
      <c r="J125" s="34" t="s">
        <v>71</v>
      </c>
      <c r="K125" s="36" t="s">
        <v>15</v>
      </c>
      <c r="L125" s="36" t="s">
        <v>44</v>
      </c>
      <c r="M125" s="36" t="s">
        <v>47</v>
      </c>
      <c r="N125" s="36" t="s">
        <v>117</v>
      </c>
      <c r="O125" s="34" t="s">
        <v>8</v>
      </c>
      <c r="P125" s="34">
        <v>2</v>
      </c>
      <c r="Q125" s="34" t="s">
        <v>12</v>
      </c>
      <c r="R125" s="34" t="s">
        <v>257</v>
      </c>
      <c r="S125" s="38" t="str">
        <f t="shared" si="1"/>
        <v>bquirogan</v>
      </c>
    </row>
    <row r="126" spans="1:19" x14ac:dyDescent="0.25">
      <c r="A126" s="34" t="s">
        <v>17</v>
      </c>
      <c r="B126" s="34">
        <v>12312362</v>
      </c>
      <c r="C126" s="34" t="s">
        <v>9</v>
      </c>
      <c r="D126" s="34" t="s">
        <v>314</v>
      </c>
      <c r="E126" s="8">
        <v>44649</v>
      </c>
      <c r="F126" s="31">
        <v>44656</v>
      </c>
      <c r="G126" s="31">
        <v>44652</v>
      </c>
      <c r="H126" s="36">
        <v>4</v>
      </c>
      <c r="I126" s="34" t="s">
        <v>72</v>
      </c>
      <c r="J126" s="34" t="s">
        <v>71</v>
      </c>
      <c r="K126" s="36" t="s">
        <v>17</v>
      </c>
      <c r="L126" s="36" t="s">
        <v>44</v>
      </c>
      <c r="M126" s="36" t="s">
        <v>47</v>
      </c>
      <c r="N126" s="36" t="s">
        <v>117</v>
      </c>
      <c r="O126" s="34" t="s">
        <v>8</v>
      </c>
      <c r="P126" s="34">
        <v>2</v>
      </c>
      <c r="Q126" s="34" t="s">
        <v>12</v>
      </c>
      <c r="R126" s="34" t="s">
        <v>258</v>
      </c>
      <c r="S126" s="38" t="str">
        <f t="shared" si="1"/>
        <v>jjleon</v>
      </c>
    </row>
    <row r="127" spans="1:19" x14ac:dyDescent="0.25">
      <c r="A127" s="34" t="s">
        <v>15</v>
      </c>
      <c r="B127" s="34">
        <v>12312508</v>
      </c>
      <c r="C127" s="34" t="s">
        <v>9</v>
      </c>
      <c r="D127" s="34" t="s">
        <v>315</v>
      </c>
      <c r="E127" s="8">
        <v>44649</v>
      </c>
      <c r="F127" s="31">
        <v>44656</v>
      </c>
      <c r="G127" s="31">
        <v>44652</v>
      </c>
      <c r="H127" s="36">
        <v>4</v>
      </c>
      <c r="I127" s="34" t="s">
        <v>72</v>
      </c>
      <c r="J127" s="34" t="s">
        <v>71</v>
      </c>
      <c r="K127" s="36" t="s">
        <v>15</v>
      </c>
      <c r="L127" s="36" t="s">
        <v>44</v>
      </c>
      <c r="M127" s="36" t="s">
        <v>47</v>
      </c>
      <c r="N127" s="36" t="s">
        <v>117</v>
      </c>
      <c r="O127" s="34" t="s">
        <v>8</v>
      </c>
      <c r="P127" s="34">
        <v>2</v>
      </c>
      <c r="Q127" s="34" t="s">
        <v>12</v>
      </c>
      <c r="R127" s="34" t="s">
        <v>259</v>
      </c>
      <c r="S127" s="38" t="str">
        <f t="shared" si="1"/>
        <v>bquirogan</v>
      </c>
    </row>
    <row r="128" spans="1:19" x14ac:dyDescent="0.25">
      <c r="A128" s="34" t="s">
        <v>17</v>
      </c>
      <c r="B128" s="34">
        <v>12312509</v>
      </c>
      <c r="C128" s="34" t="s">
        <v>9</v>
      </c>
      <c r="D128" s="34" t="s">
        <v>316</v>
      </c>
      <c r="E128" s="8">
        <v>44649</v>
      </c>
      <c r="F128" s="31">
        <v>44656</v>
      </c>
      <c r="G128" s="31">
        <v>44652</v>
      </c>
      <c r="H128" s="36">
        <v>4</v>
      </c>
      <c r="I128" s="34" t="s">
        <v>72</v>
      </c>
      <c r="J128" s="34" t="s">
        <v>71</v>
      </c>
      <c r="K128" s="36" t="s">
        <v>17</v>
      </c>
      <c r="L128" s="36" t="s">
        <v>44</v>
      </c>
      <c r="M128" s="36" t="s">
        <v>47</v>
      </c>
      <c r="N128" s="36" t="s">
        <v>117</v>
      </c>
      <c r="O128" s="34" t="s">
        <v>8</v>
      </c>
      <c r="P128" s="34">
        <v>2</v>
      </c>
      <c r="Q128" s="34" t="s">
        <v>12</v>
      </c>
      <c r="R128" s="34" t="s">
        <v>260</v>
      </c>
      <c r="S128" s="38" t="str">
        <f t="shared" si="1"/>
        <v>jjleon</v>
      </c>
    </row>
    <row r="129" spans="1:19" x14ac:dyDescent="0.25">
      <c r="A129" s="34" t="s">
        <v>15</v>
      </c>
      <c r="B129" s="34">
        <v>12312525</v>
      </c>
      <c r="C129" s="34" t="s">
        <v>9</v>
      </c>
      <c r="D129" s="34" t="s">
        <v>317</v>
      </c>
      <c r="E129" s="8">
        <v>44649</v>
      </c>
      <c r="F129" s="31">
        <v>44656</v>
      </c>
      <c r="G129" s="31">
        <v>44652</v>
      </c>
      <c r="H129" s="36">
        <v>4</v>
      </c>
      <c r="I129" s="34" t="s">
        <v>72</v>
      </c>
      <c r="J129" s="34" t="s">
        <v>71</v>
      </c>
      <c r="K129" s="36" t="s">
        <v>15</v>
      </c>
      <c r="L129" s="36" t="s">
        <v>44</v>
      </c>
      <c r="M129" s="36" t="s">
        <v>47</v>
      </c>
      <c r="N129" s="36" t="s">
        <v>117</v>
      </c>
      <c r="O129" s="34" t="s">
        <v>8</v>
      </c>
      <c r="P129" s="34">
        <v>2</v>
      </c>
      <c r="Q129" s="34" t="s">
        <v>12</v>
      </c>
      <c r="R129" s="34" t="s">
        <v>261</v>
      </c>
      <c r="S129" s="38" t="str">
        <f t="shared" si="1"/>
        <v>bquirogan</v>
      </c>
    </row>
    <row r="130" spans="1:19" x14ac:dyDescent="0.25">
      <c r="A130" s="34" t="s">
        <v>17</v>
      </c>
      <c r="B130" s="34">
        <v>12312526</v>
      </c>
      <c r="C130" s="34" t="s">
        <v>9</v>
      </c>
      <c r="D130" s="34" t="s">
        <v>318</v>
      </c>
      <c r="E130" s="8">
        <v>44649</v>
      </c>
      <c r="F130" s="31">
        <v>44656</v>
      </c>
      <c r="G130" s="31">
        <v>44652</v>
      </c>
      <c r="H130" s="36">
        <v>4</v>
      </c>
      <c r="I130" s="34" t="s">
        <v>72</v>
      </c>
      <c r="J130" s="34" t="s">
        <v>71</v>
      </c>
      <c r="K130" s="36" t="s">
        <v>17</v>
      </c>
      <c r="L130" s="36" t="s">
        <v>44</v>
      </c>
      <c r="M130" s="36" t="s">
        <v>47</v>
      </c>
      <c r="N130" s="36" t="s">
        <v>117</v>
      </c>
      <c r="O130" s="34" t="s">
        <v>8</v>
      </c>
      <c r="P130" s="34">
        <v>2</v>
      </c>
      <c r="Q130" s="34" t="s">
        <v>12</v>
      </c>
      <c r="R130" s="34" t="s">
        <v>262</v>
      </c>
      <c r="S130" s="38" t="str">
        <f t="shared" si="1"/>
        <v>jjleon</v>
      </c>
    </row>
    <row r="131" spans="1:19" x14ac:dyDescent="0.25">
      <c r="A131" s="34" t="s">
        <v>15</v>
      </c>
      <c r="B131" s="34">
        <v>12312593</v>
      </c>
      <c r="C131" s="34" t="s">
        <v>9</v>
      </c>
      <c r="D131" s="34" t="s">
        <v>320</v>
      </c>
      <c r="E131" s="8">
        <v>44649</v>
      </c>
      <c r="F131" s="31">
        <v>44656</v>
      </c>
      <c r="G131" s="31">
        <v>44652</v>
      </c>
      <c r="H131" s="36">
        <v>4</v>
      </c>
      <c r="I131" s="34" t="s">
        <v>72</v>
      </c>
      <c r="J131" s="34" t="s">
        <v>71</v>
      </c>
      <c r="K131" s="36" t="s">
        <v>15</v>
      </c>
      <c r="L131" s="36" t="s">
        <v>44</v>
      </c>
      <c r="M131" s="36" t="s">
        <v>47</v>
      </c>
      <c r="N131" s="36" t="s">
        <v>117</v>
      </c>
      <c r="O131" s="34" t="s">
        <v>8</v>
      </c>
      <c r="P131" s="34">
        <v>2</v>
      </c>
      <c r="Q131" s="34" t="s">
        <v>12</v>
      </c>
      <c r="R131" s="34" t="s">
        <v>263</v>
      </c>
      <c r="S131" s="38" t="str">
        <f t="shared" ref="S131:S194" si="2">IF($A131="","",$A131)</f>
        <v>bquirogan</v>
      </c>
    </row>
    <row r="132" spans="1:19" x14ac:dyDescent="0.25">
      <c r="A132" s="34" t="s">
        <v>23</v>
      </c>
      <c r="B132" s="34">
        <v>12207439</v>
      </c>
      <c r="C132" s="34" t="s">
        <v>9</v>
      </c>
      <c r="D132" s="34" t="s">
        <v>321</v>
      </c>
      <c r="E132" s="8">
        <v>44649</v>
      </c>
      <c r="F132" s="31">
        <v>44656</v>
      </c>
      <c r="G132" s="31">
        <v>44652</v>
      </c>
      <c r="H132" s="36">
        <v>4</v>
      </c>
      <c r="I132" s="34" t="s">
        <v>72</v>
      </c>
      <c r="J132" s="34" t="s">
        <v>71</v>
      </c>
      <c r="K132" s="36" t="s">
        <v>23</v>
      </c>
      <c r="L132" s="36" t="s">
        <v>44</v>
      </c>
      <c r="M132" s="36" t="s">
        <v>50</v>
      </c>
      <c r="N132" s="36" t="s">
        <v>117</v>
      </c>
      <c r="O132" s="34" t="s">
        <v>8</v>
      </c>
      <c r="P132" s="34">
        <v>6</v>
      </c>
      <c r="Q132" s="34" t="s">
        <v>19</v>
      </c>
      <c r="R132" s="34" t="s">
        <v>264</v>
      </c>
      <c r="S132" s="38" t="str">
        <f t="shared" si="2"/>
        <v>pgcastillo</v>
      </c>
    </row>
    <row r="133" spans="1:19" x14ac:dyDescent="0.25">
      <c r="A133" s="34" t="s">
        <v>17</v>
      </c>
      <c r="B133" s="34">
        <v>12313143</v>
      </c>
      <c r="C133" s="34" t="s">
        <v>9</v>
      </c>
      <c r="D133" s="34" t="s">
        <v>322</v>
      </c>
      <c r="E133" s="8">
        <v>44649</v>
      </c>
      <c r="F133" s="31">
        <v>44656</v>
      </c>
      <c r="G133" s="31">
        <v>44652</v>
      </c>
      <c r="H133" s="36">
        <v>4</v>
      </c>
      <c r="I133" s="34" t="s">
        <v>72</v>
      </c>
      <c r="J133" s="34" t="s">
        <v>71</v>
      </c>
      <c r="K133" s="36" t="s">
        <v>17</v>
      </c>
      <c r="L133" s="36" t="s">
        <v>44</v>
      </c>
      <c r="M133" s="36" t="s">
        <v>47</v>
      </c>
      <c r="N133" s="36" t="s">
        <v>117</v>
      </c>
      <c r="O133" s="34" t="s">
        <v>8</v>
      </c>
      <c r="P133" s="34">
        <v>2</v>
      </c>
      <c r="Q133" s="34" t="s">
        <v>12</v>
      </c>
      <c r="R133" s="34" t="s">
        <v>265</v>
      </c>
      <c r="S133" s="38" t="str">
        <f t="shared" si="2"/>
        <v>jjleon</v>
      </c>
    </row>
    <row r="134" spans="1:19" x14ac:dyDescent="0.25">
      <c r="A134" s="34" t="s">
        <v>75</v>
      </c>
      <c r="B134" s="34">
        <v>12313626</v>
      </c>
      <c r="C134" s="34" t="s">
        <v>9</v>
      </c>
      <c r="D134" s="34" t="s">
        <v>323</v>
      </c>
      <c r="E134" s="8">
        <v>44649</v>
      </c>
      <c r="F134" s="31">
        <v>44656</v>
      </c>
      <c r="G134" s="31">
        <v>44652</v>
      </c>
      <c r="H134" s="36">
        <v>4</v>
      </c>
      <c r="I134" s="34" t="s">
        <v>72</v>
      </c>
      <c r="J134" s="34" t="s">
        <v>71</v>
      </c>
      <c r="K134" s="36" t="s">
        <v>75</v>
      </c>
      <c r="L134" s="36" t="s">
        <v>44</v>
      </c>
      <c r="M134" s="36" t="s">
        <v>47</v>
      </c>
      <c r="N134" s="36" t="s">
        <v>117</v>
      </c>
      <c r="O134" s="34" t="s">
        <v>8</v>
      </c>
      <c r="P134" s="34">
        <v>2</v>
      </c>
      <c r="Q134" s="34" t="s">
        <v>12</v>
      </c>
      <c r="R134" s="34" t="s">
        <v>266</v>
      </c>
      <c r="S134" s="38" t="str">
        <f t="shared" si="2"/>
        <v>lsierrac</v>
      </c>
    </row>
    <row r="135" spans="1:19" x14ac:dyDescent="0.25">
      <c r="A135" s="34" t="s">
        <v>15</v>
      </c>
      <c r="B135" s="34">
        <v>12313808</v>
      </c>
      <c r="C135" s="34" t="s">
        <v>9</v>
      </c>
      <c r="D135" s="34" t="s">
        <v>324</v>
      </c>
      <c r="E135" s="8">
        <v>44649</v>
      </c>
      <c r="F135" s="31">
        <v>44656</v>
      </c>
      <c r="G135" s="31">
        <v>44652</v>
      </c>
      <c r="H135" s="36">
        <v>4</v>
      </c>
      <c r="I135" s="34" t="s">
        <v>72</v>
      </c>
      <c r="J135" s="34" t="s">
        <v>71</v>
      </c>
      <c r="K135" s="36" t="s">
        <v>15</v>
      </c>
      <c r="L135" s="36" t="s">
        <v>44</v>
      </c>
      <c r="M135" s="36" t="s">
        <v>47</v>
      </c>
      <c r="N135" s="36" t="s">
        <v>117</v>
      </c>
      <c r="O135" s="34" t="s">
        <v>8</v>
      </c>
      <c r="P135" s="34">
        <v>2</v>
      </c>
      <c r="Q135" s="34" t="s">
        <v>12</v>
      </c>
      <c r="R135" s="34" t="s">
        <v>267</v>
      </c>
      <c r="S135" s="38" t="str">
        <f t="shared" si="2"/>
        <v>bquirogan</v>
      </c>
    </row>
    <row r="136" spans="1:19" x14ac:dyDescent="0.25">
      <c r="A136" s="34" t="s">
        <v>17</v>
      </c>
      <c r="B136" s="34">
        <v>12313829</v>
      </c>
      <c r="C136" s="34" t="s">
        <v>9</v>
      </c>
      <c r="D136" s="34" t="s">
        <v>325</v>
      </c>
      <c r="E136" s="8">
        <v>44649</v>
      </c>
      <c r="F136" s="31">
        <v>44656</v>
      </c>
      <c r="G136" s="31">
        <v>44652</v>
      </c>
      <c r="H136" s="36">
        <v>4</v>
      </c>
      <c r="I136" s="34" t="s">
        <v>72</v>
      </c>
      <c r="J136" s="34" t="s">
        <v>71</v>
      </c>
      <c r="K136" s="36" t="s">
        <v>17</v>
      </c>
      <c r="L136" s="36" t="s">
        <v>44</v>
      </c>
      <c r="M136" s="36" t="s">
        <v>47</v>
      </c>
      <c r="N136" s="36" t="s">
        <v>117</v>
      </c>
      <c r="O136" s="34" t="s">
        <v>8</v>
      </c>
      <c r="P136" s="34">
        <v>2</v>
      </c>
      <c r="Q136" s="34" t="s">
        <v>12</v>
      </c>
      <c r="R136" s="34" t="s">
        <v>268</v>
      </c>
      <c r="S136" s="38" t="str">
        <f t="shared" si="2"/>
        <v>jjleon</v>
      </c>
    </row>
    <row r="137" spans="1:19" x14ac:dyDescent="0.25">
      <c r="A137" s="34" t="s">
        <v>15</v>
      </c>
      <c r="B137" s="34">
        <v>12313893</v>
      </c>
      <c r="C137" s="34" t="s">
        <v>9</v>
      </c>
      <c r="D137" s="34" t="s">
        <v>327</v>
      </c>
      <c r="E137" s="8">
        <v>44649</v>
      </c>
      <c r="F137" s="31">
        <v>44656</v>
      </c>
      <c r="G137" s="31">
        <v>44652</v>
      </c>
      <c r="H137" s="36">
        <v>4</v>
      </c>
      <c r="I137" s="34" t="s">
        <v>72</v>
      </c>
      <c r="J137" s="34" t="s">
        <v>71</v>
      </c>
      <c r="K137" s="36" t="s">
        <v>15</v>
      </c>
      <c r="L137" s="36" t="s">
        <v>44</v>
      </c>
      <c r="M137" s="36" t="s">
        <v>47</v>
      </c>
      <c r="N137" s="36" t="s">
        <v>117</v>
      </c>
      <c r="O137" s="34" t="s">
        <v>8</v>
      </c>
      <c r="P137" s="34">
        <v>2</v>
      </c>
      <c r="Q137" s="34" t="s">
        <v>12</v>
      </c>
      <c r="R137" s="34" t="s">
        <v>269</v>
      </c>
      <c r="S137" s="38" t="str">
        <f t="shared" si="2"/>
        <v>bquirogan</v>
      </c>
    </row>
    <row r="138" spans="1:19" x14ac:dyDescent="0.25">
      <c r="A138" s="34" t="s">
        <v>17</v>
      </c>
      <c r="B138" s="34">
        <v>12313978</v>
      </c>
      <c r="C138" s="34" t="s">
        <v>9</v>
      </c>
      <c r="D138" s="34" t="s">
        <v>328</v>
      </c>
      <c r="E138" s="8">
        <v>44649</v>
      </c>
      <c r="F138" s="31">
        <v>44656</v>
      </c>
      <c r="G138" s="31">
        <v>44652</v>
      </c>
      <c r="H138" s="36">
        <v>4</v>
      </c>
      <c r="I138" s="34" t="s">
        <v>72</v>
      </c>
      <c r="J138" s="34" t="s">
        <v>71</v>
      </c>
      <c r="K138" s="36" t="s">
        <v>17</v>
      </c>
      <c r="L138" s="36" t="s">
        <v>44</v>
      </c>
      <c r="M138" s="36" t="s">
        <v>47</v>
      </c>
      <c r="N138" s="36" t="s">
        <v>117</v>
      </c>
      <c r="O138" s="34" t="s">
        <v>8</v>
      </c>
      <c r="P138" s="34">
        <v>2</v>
      </c>
      <c r="Q138" s="34" t="s">
        <v>12</v>
      </c>
      <c r="R138" s="34" t="s">
        <v>270</v>
      </c>
      <c r="S138" s="38" t="str">
        <f t="shared" si="2"/>
        <v>jjleon</v>
      </c>
    </row>
    <row r="139" spans="1:19" x14ac:dyDescent="0.25">
      <c r="A139" s="34" t="s">
        <v>15</v>
      </c>
      <c r="B139" s="34">
        <v>12314058</v>
      </c>
      <c r="C139" s="34" t="s">
        <v>9</v>
      </c>
      <c r="D139" s="34" t="s">
        <v>331</v>
      </c>
      <c r="E139" s="8">
        <v>44649</v>
      </c>
      <c r="F139" s="31">
        <v>44656</v>
      </c>
      <c r="G139" s="31">
        <v>44652</v>
      </c>
      <c r="H139" s="36">
        <v>4</v>
      </c>
      <c r="I139" s="34" t="s">
        <v>72</v>
      </c>
      <c r="J139" s="34" t="s">
        <v>71</v>
      </c>
      <c r="K139" s="36" t="s">
        <v>15</v>
      </c>
      <c r="L139" s="36" t="s">
        <v>44</v>
      </c>
      <c r="M139" s="36" t="s">
        <v>47</v>
      </c>
      <c r="N139" s="36" t="s">
        <v>117</v>
      </c>
      <c r="O139" s="34" t="s">
        <v>8</v>
      </c>
      <c r="P139" s="34">
        <v>2</v>
      </c>
      <c r="Q139" s="34" t="s">
        <v>12</v>
      </c>
      <c r="R139" s="34" t="s">
        <v>271</v>
      </c>
      <c r="S139" s="38" t="str">
        <f t="shared" si="2"/>
        <v>bquirogan</v>
      </c>
    </row>
    <row r="140" spans="1:19" x14ac:dyDescent="0.25">
      <c r="A140" s="34" t="s">
        <v>17</v>
      </c>
      <c r="B140" s="34">
        <v>12314122</v>
      </c>
      <c r="C140" s="34" t="s">
        <v>9</v>
      </c>
      <c r="D140" s="34" t="s">
        <v>332</v>
      </c>
      <c r="E140" s="8">
        <v>44649</v>
      </c>
      <c r="F140" s="31">
        <v>44656</v>
      </c>
      <c r="G140" s="31">
        <v>44652</v>
      </c>
      <c r="H140" s="36">
        <v>4</v>
      </c>
      <c r="I140" s="34" t="s">
        <v>72</v>
      </c>
      <c r="J140" s="34" t="s">
        <v>71</v>
      </c>
      <c r="K140" s="36" t="s">
        <v>17</v>
      </c>
      <c r="L140" s="36" t="s">
        <v>44</v>
      </c>
      <c r="M140" s="36" t="s">
        <v>47</v>
      </c>
      <c r="N140" s="36" t="s">
        <v>117</v>
      </c>
      <c r="O140" s="34" t="s">
        <v>8</v>
      </c>
      <c r="P140" s="34">
        <v>2</v>
      </c>
      <c r="Q140" s="34" t="s">
        <v>12</v>
      </c>
      <c r="R140" s="34" t="s">
        <v>272</v>
      </c>
      <c r="S140" s="38" t="str">
        <f t="shared" si="2"/>
        <v>jjleon</v>
      </c>
    </row>
    <row r="141" spans="1:19" x14ac:dyDescent="0.25">
      <c r="A141" s="34" t="s">
        <v>15</v>
      </c>
      <c r="B141" s="34">
        <v>12314401</v>
      </c>
      <c r="C141" s="34" t="s">
        <v>9</v>
      </c>
      <c r="D141" s="34" t="s">
        <v>333</v>
      </c>
      <c r="E141" s="8">
        <v>44649</v>
      </c>
      <c r="F141" s="31">
        <v>44656</v>
      </c>
      <c r="G141" s="31">
        <v>44652</v>
      </c>
      <c r="H141" s="36">
        <v>4</v>
      </c>
      <c r="I141" s="34" t="s">
        <v>72</v>
      </c>
      <c r="J141" s="34" t="s">
        <v>71</v>
      </c>
      <c r="K141" s="36" t="s">
        <v>15</v>
      </c>
      <c r="L141" s="36" t="s">
        <v>44</v>
      </c>
      <c r="M141" s="36" t="s">
        <v>47</v>
      </c>
      <c r="N141" s="36" t="s">
        <v>117</v>
      </c>
      <c r="O141" s="34" t="s">
        <v>8</v>
      </c>
      <c r="P141" s="34">
        <v>2</v>
      </c>
      <c r="Q141" s="34" t="s">
        <v>12</v>
      </c>
      <c r="R141" s="34" t="s">
        <v>273</v>
      </c>
      <c r="S141" s="38" t="str">
        <f t="shared" si="2"/>
        <v>bquirogan</v>
      </c>
    </row>
    <row r="142" spans="1:19" x14ac:dyDescent="0.25">
      <c r="A142" s="34" t="s">
        <v>17</v>
      </c>
      <c r="B142" s="34">
        <v>12314517</v>
      </c>
      <c r="C142" s="34" t="s">
        <v>9</v>
      </c>
      <c r="D142" s="34" t="s">
        <v>334</v>
      </c>
      <c r="E142" s="8">
        <v>44649</v>
      </c>
      <c r="F142" s="31">
        <v>44656</v>
      </c>
      <c r="G142" s="31">
        <v>44652</v>
      </c>
      <c r="H142" s="36">
        <v>4</v>
      </c>
      <c r="I142" s="34" t="s">
        <v>72</v>
      </c>
      <c r="J142" s="34" t="s">
        <v>71</v>
      </c>
      <c r="K142" s="36" t="s">
        <v>17</v>
      </c>
      <c r="L142" s="36" t="s">
        <v>44</v>
      </c>
      <c r="M142" s="36" t="s">
        <v>47</v>
      </c>
      <c r="N142" s="36" t="s">
        <v>117</v>
      </c>
      <c r="O142" s="34" t="s">
        <v>8</v>
      </c>
      <c r="P142" s="34">
        <v>2</v>
      </c>
      <c r="Q142" s="34" t="s">
        <v>12</v>
      </c>
      <c r="R142" s="34" t="s">
        <v>274</v>
      </c>
      <c r="S142" s="38" t="str">
        <f t="shared" si="2"/>
        <v>jjleon</v>
      </c>
    </row>
    <row r="143" spans="1:19" x14ac:dyDescent="0.25">
      <c r="A143" s="34" t="s">
        <v>21</v>
      </c>
      <c r="B143" s="34">
        <v>12310771</v>
      </c>
      <c r="C143" s="34" t="s">
        <v>14</v>
      </c>
      <c r="D143" s="34" t="s">
        <v>309</v>
      </c>
      <c r="E143" s="8">
        <v>44649</v>
      </c>
      <c r="F143" s="31">
        <v>44656</v>
      </c>
      <c r="G143" s="31">
        <v>44652</v>
      </c>
      <c r="H143" s="36">
        <v>4</v>
      </c>
      <c r="I143" s="34" t="s">
        <v>72</v>
      </c>
      <c r="J143" s="34" t="s">
        <v>71</v>
      </c>
      <c r="K143" s="36" t="s">
        <v>21</v>
      </c>
      <c r="L143" s="36" t="s">
        <v>44</v>
      </c>
      <c r="M143" s="36" t="s">
        <v>49</v>
      </c>
      <c r="N143" s="36" t="s">
        <v>117</v>
      </c>
      <c r="O143" s="34" t="s">
        <v>8</v>
      </c>
      <c r="P143" s="34">
        <v>7</v>
      </c>
      <c r="Q143" s="34" t="s">
        <v>20</v>
      </c>
      <c r="R143" s="34" t="s">
        <v>556</v>
      </c>
      <c r="S143" s="38" t="str">
        <f t="shared" si="2"/>
        <v>jlramirez</v>
      </c>
    </row>
    <row r="144" spans="1:19" x14ac:dyDescent="0.25">
      <c r="A144" s="34" t="s">
        <v>21</v>
      </c>
      <c r="B144" s="34">
        <v>12309585</v>
      </c>
      <c r="C144" s="34" t="s">
        <v>14</v>
      </c>
      <c r="D144" s="34" t="s">
        <v>304</v>
      </c>
      <c r="E144" s="8">
        <v>44649</v>
      </c>
      <c r="F144" s="31">
        <v>44656</v>
      </c>
      <c r="G144" s="31">
        <v>44652</v>
      </c>
      <c r="H144" s="36">
        <v>4</v>
      </c>
      <c r="I144" s="34" t="s">
        <v>72</v>
      </c>
      <c r="J144" s="34" t="s">
        <v>71</v>
      </c>
      <c r="K144" s="36" t="s">
        <v>21</v>
      </c>
      <c r="L144" s="36" t="s">
        <v>44</v>
      </c>
      <c r="M144" s="36" t="s">
        <v>49</v>
      </c>
      <c r="N144" s="36" t="s">
        <v>117</v>
      </c>
      <c r="O144" s="34" t="s">
        <v>8</v>
      </c>
      <c r="P144" s="34">
        <v>7</v>
      </c>
      <c r="Q144" s="34" t="s">
        <v>20</v>
      </c>
      <c r="R144" s="34" t="s">
        <v>368</v>
      </c>
      <c r="S144" s="38" t="str">
        <f t="shared" si="2"/>
        <v>jlramirez</v>
      </c>
    </row>
    <row r="145" spans="1:19" x14ac:dyDescent="0.25">
      <c r="A145" s="34" t="s">
        <v>15</v>
      </c>
      <c r="B145" s="34">
        <v>12304139</v>
      </c>
      <c r="C145" s="34" t="s">
        <v>9</v>
      </c>
      <c r="D145" s="34" t="s">
        <v>292</v>
      </c>
      <c r="E145" s="8">
        <v>44649</v>
      </c>
      <c r="F145" s="31">
        <v>44656</v>
      </c>
      <c r="G145" s="31">
        <v>44652</v>
      </c>
      <c r="H145" s="36">
        <v>4</v>
      </c>
      <c r="I145" s="34" t="s">
        <v>72</v>
      </c>
      <c r="J145" s="34" t="s">
        <v>71</v>
      </c>
      <c r="K145" s="36" t="s">
        <v>15</v>
      </c>
      <c r="L145" s="36" t="s">
        <v>44</v>
      </c>
      <c r="M145" s="36" t="s">
        <v>49</v>
      </c>
      <c r="N145" s="36" t="s">
        <v>117</v>
      </c>
      <c r="O145" s="34" t="s">
        <v>8</v>
      </c>
      <c r="P145" s="34">
        <v>7</v>
      </c>
      <c r="Q145" s="34" t="s">
        <v>20</v>
      </c>
      <c r="R145" s="34" t="s">
        <v>563</v>
      </c>
      <c r="S145" s="38" t="str">
        <f t="shared" si="2"/>
        <v>bquirogan</v>
      </c>
    </row>
    <row r="146" spans="1:19" x14ac:dyDescent="0.25">
      <c r="A146" s="34" t="s">
        <v>17</v>
      </c>
      <c r="B146" s="34">
        <v>12320071</v>
      </c>
      <c r="C146" s="34" t="s">
        <v>9</v>
      </c>
      <c r="D146" s="34" t="s">
        <v>408</v>
      </c>
      <c r="E146" s="8">
        <v>44650</v>
      </c>
      <c r="F146" s="31">
        <v>44657</v>
      </c>
      <c r="G146" s="31">
        <v>44652</v>
      </c>
      <c r="H146" s="36">
        <v>3</v>
      </c>
      <c r="I146" s="34" t="s">
        <v>72</v>
      </c>
      <c r="J146" s="34" t="s">
        <v>73</v>
      </c>
      <c r="K146" s="36" t="s">
        <v>117</v>
      </c>
      <c r="L146" s="36" t="s">
        <v>117</v>
      </c>
      <c r="M146" s="36" t="s">
        <v>47</v>
      </c>
      <c r="N146" s="36" t="s">
        <v>117</v>
      </c>
      <c r="O146" s="34" t="s">
        <v>26</v>
      </c>
      <c r="P146" s="34">
        <v>2</v>
      </c>
      <c r="Q146" s="34" t="s">
        <v>12</v>
      </c>
      <c r="R146" s="34" t="s">
        <v>340</v>
      </c>
      <c r="S146" s="38" t="str">
        <f t="shared" si="2"/>
        <v>jjleon</v>
      </c>
    </row>
    <row r="147" spans="1:19" x14ac:dyDescent="0.25">
      <c r="A147" s="34" t="s">
        <v>17</v>
      </c>
      <c r="B147" s="34">
        <v>12066888</v>
      </c>
      <c r="C147" s="34" t="s">
        <v>9</v>
      </c>
      <c r="D147" s="34" t="s">
        <v>410</v>
      </c>
      <c r="E147" s="8">
        <v>44650</v>
      </c>
      <c r="F147" s="31">
        <v>44657</v>
      </c>
      <c r="G147" s="31">
        <v>44652</v>
      </c>
      <c r="H147" s="36">
        <v>3</v>
      </c>
      <c r="I147" s="34" t="s">
        <v>72</v>
      </c>
      <c r="J147" s="34" t="s">
        <v>73</v>
      </c>
      <c r="K147" s="36" t="s">
        <v>117</v>
      </c>
      <c r="L147" s="36" t="s">
        <v>117</v>
      </c>
      <c r="M147" s="36" t="s">
        <v>49</v>
      </c>
      <c r="N147" s="36" t="s">
        <v>117</v>
      </c>
      <c r="O147" s="34" t="s">
        <v>26</v>
      </c>
      <c r="P147" s="34">
        <v>10</v>
      </c>
      <c r="Q147" s="34" t="s">
        <v>20</v>
      </c>
      <c r="R147" s="34" t="s">
        <v>342</v>
      </c>
      <c r="S147" s="38" t="str">
        <f t="shared" si="2"/>
        <v>jjleon</v>
      </c>
    </row>
    <row r="148" spans="1:19" x14ac:dyDescent="0.25">
      <c r="A148" s="34" t="s">
        <v>17</v>
      </c>
      <c r="B148" s="34">
        <v>12323012</v>
      </c>
      <c r="C148" s="34" t="s">
        <v>9</v>
      </c>
      <c r="D148" s="34" t="s">
        <v>411</v>
      </c>
      <c r="E148" s="8">
        <v>44650</v>
      </c>
      <c r="F148" s="31">
        <v>44657</v>
      </c>
      <c r="G148" s="31">
        <v>44652</v>
      </c>
      <c r="H148" s="36">
        <v>3</v>
      </c>
      <c r="I148" s="34" t="s">
        <v>72</v>
      </c>
      <c r="J148" s="34" t="s">
        <v>73</v>
      </c>
      <c r="K148" s="36" t="s">
        <v>117</v>
      </c>
      <c r="L148" s="36" t="s">
        <v>117</v>
      </c>
      <c r="M148" s="36" t="s">
        <v>47</v>
      </c>
      <c r="N148" s="36" t="s">
        <v>117</v>
      </c>
      <c r="O148" s="34" t="s">
        <v>26</v>
      </c>
      <c r="P148" s="34">
        <v>2</v>
      </c>
      <c r="Q148" s="34" t="s">
        <v>12</v>
      </c>
      <c r="R148" s="34" t="s">
        <v>343</v>
      </c>
      <c r="S148" s="38" t="str">
        <f t="shared" si="2"/>
        <v>jjleon</v>
      </c>
    </row>
    <row r="149" spans="1:19" x14ac:dyDescent="0.25">
      <c r="A149" s="34" t="s">
        <v>15</v>
      </c>
      <c r="B149" s="34">
        <v>12316648</v>
      </c>
      <c r="C149" s="34" t="s">
        <v>9</v>
      </c>
      <c r="D149" s="34" t="s">
        <v>404</v>
      </c>
      <c r="E149" s="8">
        <v>44650</v>
      </c>
      <c r="F149" s="31">
        <v>44657</v>
      </c>
      <c r="G149" s="31">
        <v>44652</v>
      </c>
      <c r="H149" s="36">
        <v>3</v>
      </c>
      <c r="I149" s="34" t="s">
        <v>72</v>
      </c>
      <c r="J149" s="34" t="s">
        <v>73</v>
      </c>
      <c r="K149" s="36" t="s">
        <v>117</v>
      </c>
      <c r="L149" s="36" t="s">
        <v>117</v>
      </c>
      <c r="M149" s="36" t="s">
        <v>47</v>
      </c>
      <c r="N149" s="36" t="s">
        <v>117</v>
      </c>
      <c r="O149" s="34" t="s">
        <v>26</v>
      </c>
      <c r="P149" s="34">
        <v>2</v>
      </c>
      <c r="Q149" s="34" t="s">
        <v>12</v>
      </c>
      <c r="R149" s="34" t="s">
        <v>336</v>
      </c>
      <c r="S149" s="38" t="str">
        <f t="shared" si="2"/>
        <v>bquirogan</v>
      </c>
    </row>
    <row r="150" spans="1:19" x14ac:dyDescent="0.25">
      <c r="A150" s="34" t="s">
        <v>17</v>
      </c>
      <c r="B150" s="34">
        <v>12316893</v>
      </c>
      <c r="C150" s="34" t="s">
        <v>9</v>
      </c>
      <c r="D150" s="34" t="s">
        <v>405</v>
      </c>
      <c r="E150" s="8">
        <v>44650</v>
      </c>
      <c r="F150" s="31">
        <v>44657</v>
      </c>
      <c r="G150" s="31">
        <v>44652</v>
      </c>
      <c r="H150" s="36">
        <v>3</v>
      </c>
      <c r="I150" s="34" t="s">
        <v>72</v>
      </c>
      <c r="J150" s="34" t="s">
        <v>73</v>
      </c>
      <c r="K150" s="36" t="s">
        <v>117</v>
      </c>
      <c r="L150" s="36" t="s">
        <v>117</v>
      </c>
      <c r="M150" s="36" t="s">
        <v>47</v>
      </c>
      <c r="N150" s="36" t="s">
        <v>117</v>
      </c>
      <c r="O150" s="34" t="s">
        <v>26</v>
      </c>
      <c r="P150" s="34">
        <v>2</v>
      </c>
      <c r="Q150" s="34" t="s">
        <v>12</v>
      </c>
      <c r="R150" s="34" t="s">
        <v>337</v>
      </c>
      <c r="S150" s="38" t="str">
        <f t="shared" si="2"/>
        <v>jjleon</v>
      </c>
    </row>
    <row r="151" spans="1:19" x14ac:dyDescent="0.25">
      <c r="A151" s="34" t="s">
        <v>17</v>
      </c>
      <c r="B151" s="34">
        <v>12317781</v>
      </c>
      <c r="C151" s="34" t="s">
        <v>9</v>
      </c>
      <c r="D151" s="34" t="s">
        <v>407</v>
      </c>
      <c r="E151" s="8">
        <v>44650</v>
      </c>
      <c r="F151" s="31">
        <v>44657</v>
      </c>
      <c r="G151" s="31">
        <v>44652</v>
      </c>
      <c r="H151" s="36">
        <v>3</v>
      </c>
      <c r="I151" s="34" t="s">
        <v>72</v>
      </c>
      <c r="J151" s="34" t="s">
        <v>73</v>
      </c>
      <c r="K151" s="36" t="s">
        <v>117</v>
      </c>
      <c r="L151" s="36" t="s">
        <v>117</v>
      </c>
      <c r="M151" s="36" t="s">
        <v>47</v>
      </c>
      <c r="N151" s="36" t="s">
        <v>117</v>
      </c>
      <c r="O151" s="34" t="s">
        <v>26</v>
      </c>
      <c r="P151" s="34">
        <v>2</v>
      </c>
      <c r="Q151" s="34" t="s">
        <v>12</v>
      </c>
      <c r="R151" s="34" t="s">
        <v>339</v>
      </c>
      <c r="S151" s="38" t="str">
        <f t="shared" si="2"/>
        <v>jjleon</v>
      </c>
    </row>
    <row r="152" spans="1:19" x14ac:dyDescent="0.25">
      <c r="A152" s="34" t="s">
        <v>15</v>
      </c>
      <c r="B152" s="34">
        <v>12322167</v>
      </c>
      <c r="C152" s="34" t="s">
        <v>9</v>
      </c>
      <c r="D152" s="34" t="s">
        <v>409</v>
      </c>
      <c r="E152" s="8">
        <v>44650</v>
      </c>
      <c r="F152" s="31">
        <v>44657</v>
      </c>
      <c r="G152" s="31">
        <v>44652</v>
      </c>
      <c r="H152" s="36">
        <v>3</v>
      </c>
      <c r="I152" s="34" t="s">
        <v>72</v>
      </c>
      <c r="J152" s="34" t="s">
        <v>73</v>
      </c>
      <c r="K152" s="36" t="s">
        <v>117</v>
      </c>
      <c r="L152" s="36" t="s">
        <v>117</v>
      </c>
      <c r="M152" s="36" t="s">
        <v>47</v>
      </c>
      <c r="N152" s="36" t="s">
        <v>117</v>
      </c>
      <c r="O152" s="34" t="s">
        <v>26</v>
      </c>
      <c r="P152" s="34">
        <v>2</v>
      </c>
      <c r="Q152" s="34" t="s">
        <v>12</v>
      </c>
      <c r="R152" s="34" t="s">
        <v>341</v>
      </c>
      <c r="S152" s="38" t="str">
        <f t="shared" si="2"/>
        <v>bquirogan</v>
      </c>
    </row>
    <row r="153" spans="1:19" x14ac:dyDescent="0.25">
      <c r="A153" s="34" t="s">
        <v>15</v>
      </c>
      <c r="B153" s="34">
        <v>12324671</v>
      </c>
      <c r="C153" s="34" t="s">
        <v>9</v>
      </c>
      <c r="D153" s="34" t="s">
        <v>412</v>
      </c>
      <c r="E153" s="8">
        <v>44650</v>
      </c>
      <c r="F153" s="31">
        <v>44657</v>
      </c>
      <c r="G153" s="31">
        <v>44652</v>
      </c>
      <c r="H153" s="36">
        <v>3</v>
      </c>
      <c r="I153" s="34" t="s">
        <v>72</v>
      </c>
      <c r="J153" s="34" t="s">
        <v>73</v>
      </c>
      <c r="K153" s="36" t="s">
        <v>117</v>
      </c>
      <c r="L153" s="36" t="s">
        <v>117</v>
      </c>
      <c r="M153" s="36" t="s">
        <v>47</v>
      </c>
      <c r="N153" s="36" t="s">
        <v>117</v>
      </c>
      <c r="O153" s="34" t="s">
        <v>26</v>
      </c>
      <c r="P153" s="34">
        <v>2</v>
      </c>
      <c r="Q153" s="34" t="s">
        <v>12</v>
      </c>
      <c r="R153" s="34" t="s">
        <v>344</v>
      </c>
      <c r="S153" s="38" t="str">
        <f t="shared" si="2"/>
        <v>bquirogan</v>
      </c>
    </row>
    <row r="154" spans="1:19" x14ac:dyDescent="0.25">
      <c r="A154" s="34" t="s">
        <v>15</v>
      </c>
      <c r="B154" s="34">
        <v>12317040</v>
      </c>
      <c r="C154" s="34" t="s">
        <v>9</v>
      </c>
      <c r="D154" s="34" t="s">
        <v>406</v>
      </c>
      <c r="E154" s="8">
        <v>44650</v>
      </c>
      <c r="F154" s="31">
        <v>44657</v>
      </c>
      <c r="G154" s="31">
        <v>44652</v>
      </c>
      <c r="H154" s="36">
        <v>3</v>
      </c>
      <c r="I154" s="34" t="s">
        <v>72</v>
      </c>
      <c r="J154" s="34" t="s">
        <v>73</v>
      </c>
      <c r="K154" s="36" t="s">
        <v>117</v>
      </c>
      <c r="L154" s="36" t="s">
        <v>117</v>
      </c>
      <c r="M154" s="36" t="s">
        <v>49</v>
      </c>
      <c r="N154" s="36" t="s">
        <v>117</v>
      </c>
      <c r="O154" s="34" t="s">
        <v>26</v>
      </c>
      <c r="P154" s="34">
        <v>10</v>
      </c>
      <c r="Q154" s="34" t="s">
        <v>20</v>
      </c>
      <c r="R154" s="34" t="s">
        <v>458</v>
      </c>
      <c r="S154" s="38" t="str">
        <f t="shared" si="2"/>
        <v>bquirogan</v>
      </c>
    </row>
    <row r="155" spans="1:19" x14ac:dyDescent="0.25">
      <c r="A155" s="34" t="s">
        <v>17</v>
      </c>
      <c r="B155" s="34">
        <v>12320814</v>
      </c>
      <c r="C155" s="34" t="s">
        <v>9</v>
      </c>
      <c r="D155" s="34" t="s">
        <v>422</v>
      </c>
      <c r="E155" s="8">
        <v>44650</v>
      </c>
      <c r="F155" s="31">
        <v>44657</v>
      </c>
      <c r="G155" s="31">
        <v>44652</v>
      </c>
      <c r="H155" s="36">
        <v>3</v>
      </c>
      <c r="I155" s="34" t="s">
        <v>72</v>
      </c>
      <c r="J155" s="34" t="s">
        <v>73</v>
      </c>
      <c r="K155" s="36" t="s">
        <v>117</v>
      </c>
      <c r="L155" s="36" t="s">
        <v>117</v>
      </c>
      <c r="M155" s="36" t="s">
        <v>47</v>
      </c>
      <c r="N155" s="36" t="s">
        <v>117</v>
      </c>
      <c r="O155" s="34" t="s">
        <v>8</v>
      </c>
      <c r="P155" s="34">
        <v>2</v>
      </c>
      <c r="Q155" s="34" t="s">
        <v>12</v>
      </c>
      <c r="R155" s="34" t="s">
        <v>351</v>
      </c>
      <c r="S155" s="38" t="str">
        <f t="shared" si="2"/>
        <v>jjleon</v>
      </c>
    </row>
    <row r="156" spans="1:19" x14ac:dyDescent="0.25">
      <c r="A156" s="34" t="s">
        <v>17</v>
      </c>
      <c r="B156" s="34">
        <v>12322202</v>
      </c>
      <c r="C156" s="34" t="s">
        <v>9</v>
      </c>
      <c r="D156" s="34" t="s">
        <v>425</v>
      </c>
      <c r="E156" s="8">
        <v>44650</v>
      </c>
      <c r="F156" s="31">
        <v>44657</v>
      </c>
      <c r="G156" s="31">
        <v>44652</v>
      </c>
      <c r="H156" s="36">
        <v>3</v>
      </c>
      <c r="I156" s="34" t="s">
        <v>72</v>
      </c>
      <c r="J156" s="34" t="s">
        <v>73</v>
      </c>
      <c r="K156" s="36" t="s">
        <v>117</v>
      </c>
      <c r="L156" s="36" t="s">
        <v>117</v>
      </c>
      <c r="M156" s="36" t="s">
        <v>47</v>
      </c>
      <c r="N156" s="36" t="s">
        <v>117</v>
      </c>
      <c r="O156" s="34" t="s">
        <v>8</v>
      </c>
      <c r="P156" s="34">
        <v>2</v>
      </c>
      <c r="Q156" s="34" t="s">
        <v>12</v>
      </c>
      <c r="R156" s="34" t="s">
        <v>355</v>
      </c>
      <c r="S156" s="38" t="str">
        <f t="shared" si="2"/>
        <v>jjleon</v>
      </c>
    </row>
    <row r="157" spans="1:19" x14ac:dyDescent="0.25">
      <c r="A157" s="34" t="s">
        <v>17</v>
      </c>
      <c r="B157" s="34">
        <v>12322706</v>
      </c>
      <c r="C157" s="34" t="s">
        <v>9</v>
      </c>
      <c r="D157" s="34" t="s">
        <v>429</v>
      </c>
      <c r="E157" s="8">
        <v>44650</v>
      </c>
      <c r="F157" s="31">
        <v>44657</v>
      </c>
      <c r="G157" s="31">
        <v>44652</v>
      </c>
      <c r="H157" s="36">
        <v>3</v>
      </c>
      <c r="I157" s="34" t="s">
        <v>72</v>
      </c>
      <c r="J157" s="34" t="s">
        <v>73</v>
      </c>
      <c r="K157" s="36" t="s">
        <v>117</v>
      </c>
      <c r="L157" s="36" t="s">
        <v>117</v>
      </c>
      <c r="M157" s="36" t="s">
        <v>47</v>
      </c>
      <c r="N157" s="36" t="s">
        <v>117</v>
      </c>
      <c r="O157" s="34" t="s">
        <v>8</v>
      </c>
      <c r="P157" s="34">
        <v>2</v>
      </c>
      <c r="Q157" s="34" t="s">
        <v>12</v>
      </c>
      <c r="R157" s="34" t="s">
        <v>360</v>
      </c>
      <c r="S157" s="38" t="str">
        <f t="shared" si="2"/>
        <v>jjleon</v>
      </c>
    </row>
    <row r="158" spans="1:19" x14ac:dyDescent="0.25">
      <c r="A158" s="34" t="s">
        <v>17</v>
      </c>
      <c r="B158" s="34">
        <v>12323972</v>
      </c>
      <c r="C158" s="34" t="s">
        <v>9</v>
      </c>
      <c r="D158" s="34" t="s">
        <v>433</v>
      </c>
      <c r="E158" s="8">
        <v>44650</v>
      </c>
      <c r="F158" s="31">
        <v>44657</v>
      </c>
      <c r="G158" s="31">
        <v>44652</v>
      </c>
      <c r="H158" s="36">
        <v>3</v>
      </c>
      <c r="I158" s="34" t="s">
        <v>72</v>
      </c>
      <c r="J158" s="34" t="s">
        <v>73</v>
      </c>
      <c r="K158" s="36" t="s">
        <v>117</v>
      </c>
      <c r="L158" s="36" t="s">
        <v>117</v>
      </c>
      <c r="M158" s="36" t="s">
        <v>47</v>
      </c>
      <c r="N158" s="36" t="s">
        <v>117</v>
      </c>
      <c r="O158" s="34" t="s">
        <v>8</v>
      </c>
      <c r="P158" s="34">
        <v>2</v>
      </c>
      <c r="Q158" s="34" t="s">
        <v>12</v>
      </c>
      <c r="R158" s="34" t="s">
        <v>374</v>
      </c>
      <c r="S158" s="38" t="str">
        <f t="shared" si="2"/>
        <v>jjleon</v>
      </c>
    </row>
    <row r="159" spans="1:19" x14ac:dyDescent="0.25">
      <c r="A159" s="34" t="s">
        <v>17</v>
      </c>
      <c r="B159" s="34">
        <v>12324052</v>
      </c>
      <c r="C159" s="34" t="s">
        <v>9</v>
      </c>
      <c r="D159" s="34" t="s">
        <v>435</v>
      </c>
      <c r="E159" s="8">
        <v>44650</v>
      </c>
      <c r="F159" s="31">
        <v>44657</v>
      </c>
      <c r="G159" s="31">
        <v>44652</v>
      </c>
      <c r="H159" s="36">
        <v>3</v>
      </c>
      <c r="I159" s="34" t="s">
        <v>72</v>
      </c>
      <c r="J159" s="34" t="s">
        <v>73</v>
      </c>
      <c r="K159" s="36" t="s">
        <v>117</v>
      </c>
      <c r="L159" s="36" t="s">
        <v>117</v>
      </c>
      <c r="M159" s="36" t="s">
        <v>47</v>
      </c>
      <c r="N159" s="36" t="s">
        <v>117</v>
      </c>
      <c r="O159" s="34" t="s">
        <v>8</v>
      </c>
      <c r="P159" s="34">
        <v>2</v>
      </c>
      <c r="Q159" s="34" t="s">
        <v>12</v>
      </c>
      <c r="R159" s="34" t="s">
        <v>378</v>
      </c>
      <c r="S159" s="38" t="str">
        <f t="shared" si="2"/>
        <v>jjleon</v>
      </c>
    </row>
    <row r="160" spans="1:19" x14ac:dyDescent="0.25">
      <c r="A160" s="34" t="s">
        <v>17</v>
      </c>
      <c r="B160" s="34">
        <v>12324798</v>
      </c>
      <c r="C160" s="34" t="s">
        <v>9</v>
      </c>
      <c r="D160" s="34" t="s">
        <v>441</v>
      </c>
      <c r="E160" s="8">
        <v>44650</v>
      </c>
      <c r="F160" s="31">
        <v>44657</v>
      </c>
      <c r="G160" s="31">
        <v>44652</v>
      </c>
      <c r="H160" s="36">
        <v>3</v>
      </c>
      <c r="I160" s="34" t="s">
        <v>72</v>
      </c>
      <c r="J160" s="34" t="s">
        <v>73</v>
      </c>
      <c r="K160" s="36" t="s">
        <v>117</v>
      </c>
      <c r="L160" s="36" t="s">
        <v>117</v>
      </c>
      <c r="M160" s="36" t="s">
        <v>47</v>
      </c>
      <c r="N160" s="36" t="s">
        <v>117</v>
      </c>
      <c r="O160" s="34" t="s">
        <v>8</v>
      </c>
      <c r="P160" s="34">
        <v>2</v>
      </c>
      <c r="Q160" s="34" t="s">
        <v>12</v>
      </c>
      <c r="R160" s="34" t="s">
        <v>391</v>
      </c>
      <c r="S160" s="38" t="str">
        <f t="shared" si="2"/>
        <v>jjleon</v>
      </c>
    </row>
    <row r="161" spans="1:19" x14ac:dyDescent="0.25">
      <c r="A161" s="34" t="s">
        <v>17</v>
      </c>
      <c r="B161" s="34">
        <v>12325211</v>
      </c>
      <c r="C161" s="34" t="s">
        <v>9</v>
      </c>
      <c r="D161" s="34" t="s">
        <v>443</v>
      </c>
      <c r="E161" s="8">
        <v>44650</v>
      </c>
      <c r="F161" s="31">
        <v>44657</v>
      </c>
      <c r="G161" s="31">
        <v>44652</v>
      </c>
      <c r="H161" s="36">
        <v>3</v>
      </c>
      <c r="I161" s="34" t="s">
        <v>72</v>
      </c>
      <c r="J161" s="34" t="s">
        <v>73</v>
      </c>
      <c r="K161" s="36" t="s">
        <v>117</v>
      </c>
      <c r="L161" s="36" t="s">
        <v>117</v>
      </c>
      <c r="M161" s="36" t="s">
        <v>47</v>
      </c>
      <c r="N161" s="36" t="s">
        <v>117</v>
      </c>
      <c r="O161" s="34" t="s">
        <v>8</v>
      </c>
      <c r="P161" s="34">
        <v>2</v>
      </c>
      <c r="Q161" s="34" t="s">
        <v>12</v>
      </c>
      <c r="R161" s="34" t="s">
        <v>398</v>
      </c>
      <c r="S161" s="38" t="str">
        <f t="shared" si="2"/>
        <v>jjleon</v>
      </c>
    </row>
    <row r="162" spans="1:19" x14ac:dyDescent="0.25">
      <c r="A162" s="34" t="s">
        <v>17</v>
      </c>
      <c r="B162" s="34">
        <v>12325699</v>
      </c>
      <c r="C162" s="34" t="s">
        <v>9</v>
      </c>
      <c r="D162" s="34" t="s">
        <v>445</v>
      </c>
      <c r="E162" s="8">
        <v>44650</v>
      </c>
      <c r="F162" s="31">
        <v>44657</v>
      </c>
      <c r="G162" s="31">
        <v>44652</v>
      </c>
      <c r="H162" s="36">
        <v>3</v>
      </c>
      <c r="I162" s="34" t="s">
        <v>72</v>
      </c>
      <c r="J162" s="34" t="s">
        <v>73</v>
      </c>
      <c r="K162" s="36" t="s">
        <v>117</v>
      </c>
      <c r="L162" s="36" t="s">
        <v>117</v>
      </c>
      <c r="M162" s="36" t="s">
        <v>47</v>
      </c>
      <c r="N162" s="36" t="s">
        <v>117</v>
      </c>
      <c r="O162" s="34" t="s">
        <v>8</v>
      </c>
      <c r="P162" s="34">
        <v>2</v>
      </c>
      <c r="Q162" s="34" t="s">
        <v>12</v>
      </c>
      <c r="R162" s="34" t="s">
        <v>400</v>
      </c>
      <c r="S162" s="38" t="str">
        <f t="shared" si="2"/>
        <v>jjleon</v>
      </c>
    </row>
    <row r="163" spans="1:19" x14ac:dyDescent="0.25">
      <c r="A163" s="34" t="s">
        <v>17</v>
      </c>
      <c r="B163" s="34">
        <v>12326219</v>
      </c>
      <c r="C163" s="34" t="s">
        <v>9</v>
      </c>
      <c r="D163" s="34" t="s">
        <v>447</v>
      </c>
      <c r="E163" s="8">
        <v>44650</v>
      </c>
      <c r="F163" s="31">
        <v>44657</v>
      </c>
      <c r="G163" s="31">
        <v>44652</v>
      </c>
      <c r="H163" s="36">
        <v>3</v>
      </c>
      <c r="I163" s="34" t="s">
        <v>72</v>
      </c>
      <c r="J163" s="34" t="s">
        <v>73</v>
      </c>
      <c r="K163" s="36" t="s">
        <v>117</v>
      </c>
      <c r="L163" s="36" t="s">
        <v>117</v>
      </c>
      <c r="M163" s="36" t="s">
        <v>47</v>
      </c>
      <c r="N163" s="36" t="s">
        <v>117</v>
      </c>
      <c r="O163" s="34" t="s">
        <v>8</v>
      </c>
      <c r="P163" s="34">
        <v>2</v>
      </c>
      <c r="Q163" s="34" t="s">
        <v>12</v>
      </c>
      <c r="R163" s="34" t="s">
        <v>402</v>
      </c>
      <c r="S163" s="38" t="str">
        <f t="shared" si="2"/>
        <v>jjleon</v>
      </c>
    </row>
    <row r="164" spans="1:19" x14ac:dyDescent="0.25">
      <c r="A164" s="34" t="s">
        <v>23</v>
      </c>
      <c r="B164" s="34">
        <v>12324192</v>
      </c>
      <c r="C164" s="34" t="s">
        <v>9</v>
      </c>
      <c r="D164" s="34" t="s">
        <v>436</v>
      </c>
      <c r="E164" s="8">
        <v>44650</v>
      </c>
      <c r="F164" s="31">
        <v>44657</v>
      </c>
      <c r="G164" s="31">
        <v>44652</v>
      </c>
      <c r="H164" s="36">
        <v>3</v>
      </c>
      <c r="I164" s="34" t="s">
        <v>72</v>
      </c>
      <c r="J164" s="34" t="s">
        <v>73</v>
      </c>
      <c r="K164" s="36" t="s">
        <v>117</v>
      </c>
      <c r="L164" s="36" t="s">
        <v>117</v>
      </c>
      <c r="M164" s="36" t="s">
        <v>50</v>
      </c>
      <c r="N164" s="36" t="s">
        <v>117</v>
      </c>
      <c r="O164" s="34" t="s">
        <v>8</v>
      </c>
      <c r="P164" s="34">
        <v>6</v>
      </c>
      <c r="Q164" s="34" t="s">
        <v>19</v>
      </c>
      <c r="R164" s="34" t="s">
        <v>469</v>
      </c>
      <c r="S164" s="38" t="str">
        <f t="shared" si="2"/>
        <v>pgcastillo</v>
      </c>
    </row>
    <row r="165" spans="1:19" x14ac:dyDescent="0.25">
      <c r="A165" s="34" t="s">
        <v>21</v>
      </c>
      <c r="B165" s="34">
        <v>12319379</v>
      </c>
      <c r="C165" s="34" t="s">
        <v>14</v>
      </c>
      <c r="D165" s="34" t="s">
        <v>432</v>
      </c>
      <c r="E165" s="8">
        <v>44650</v>
      </c>
      <c r="F165" s="31">
        <v>44657</v>
      </c>
      <c r="G165" s="31">
        <v>44652</v>
      </c>
      <c r="H165" s="36">
        <v>3</v>
      </c>
      <c r="I165" s="34" t="s">
        <v>72</v>
      </c>
      <c r="J165" s="34" t="s">
        <v>73</v>
      </c>
      <c r="K165" s="36" t="s">
        <v>117</v>
      </c>
      <c r="L165" s="36" t="s">
        <v>117</v>
      </c>
      <c r="M165" s="36" t="s">
        <v>49</v>
      </c>
      <c r="N165" s="36" t="s">
        <v>117</v>
      </c>
      <c r="O165" s="34" t="s">
        <v>8</v>
      </c>
      <c r="P165" s="34">
        <v>7</v>
      </c>
      <c r="Q165" s="34" t="s">
        <v>20</v>
      </c>
      <c r="R165" s="34" t="s">
        <v>485</v>
      </c>
      <c r="S165" s="38" t="str">
        <f t="shared" si="2"/>
        <v>jlramirez</v>
      </c>
    </row>
    <row r="166" spans="1:19" x14ac:dyDescent="0.25">
      <c r="A166" s="34" t="s">
        <v>21</v>
      </c>
      <c r="B166" s="34">
        <v>12322514</v>
      </c>
      <c r="C166" s="34" t="s">
        <v>14</v>
      </c>
      <c r="D166" s="34" t="s">
        <v>439</v>
      </c>
      <c r="E166" s="8">
        <v>44650</v>
      </c>
      <c r="F166" s="31">
        <v>44657</v>
      </c>
      <c r="G166" s="31">
        <v>44652</v>
      </c>
      <c r="H166" s="36">
        <v>3</v>
      </c>
      <c r="I166" s="34" t="s">
        <v>72</v>
      </c>
      <c r="J166" s="34" t="s">
        <v>73</v>
      </c>
      <c r="K166" s="36" t="s">
        <v>117</v>
      </c>
      <c r="L166" s="36" t="s">
        <v>117</v>
      </c>
      <c r="M166" s="36" t="s">
        <v>49</v>
      </c>
      <c r="N166" s="36" t="s">
        <v>117</v>
      </c>
      <c r="O166" s="34" t="s">
        <v>8</v>
      </c>
      <c r="P166" s="34">
        <v>7</v>
      </c>
      <c r="Q166" s="34" t="s">
        <v>20</v>
      </c>
      <c r="R166" s="34" t="s">
        <v>488</v>
      </c>
      <c r="S166" s="38" t="str">
        <f t="shared" si="2"/>
        <v>jlramirez</v>
      </c>
    </row>
    <row r="167" spans="1:19" x14ac:dyDescent="0.25">
      <c r="A167" s="34" t="s">
        <v>21</v>
      </c>
      <c r="B167" s="34">
        <v>12324045</v>
      </c>
      <c r="C167" s="34" t="s">
        <v>14</v>
      </c>
      <c r="D167" s="34" t="s">
        <v>413</v>
      </c>
      <c r="E167" s="8">
        <v>44650</v>
      </c>
      <c r="F167" s="31">
        <v>44657</v>
      </c>
      <c r="G167" s="31">
        <v>44652</v>
      </c>
      <c r="H167" s="36">
        <v>3</v>
      </c>
      <c r="I167" s="34" t="s">
        <v>72</v>
      </c>
      <c r="J167" s="34" t="s">
        <v>73</v>
      </c>
      <c r="K167" s="36" t="s">
        <v>117</v>
      </c>
      <c r="L167" s="36" t="s">
        <v>117</v>
      </c>
      <c r="M167" s="36" t="s">
        <v>49</v>
      </c>
      <c r="N167" s="36" t="s">
        <v>117</v>
      </c>
      <c r="O167" s="34" t="s">
        <v>8</v>
      </c>
      <c r="P167" s="34">
        <v>7</v>
      </c>
      <c r="Q167" s="34" t="s">
        <v>20</v>
      </c>
      <c r="R167" s="34" t="s">
        <v>489</v>
      </c>
      <c r="S167" s="38" t="str">
        <f t="shared" si="2"/>
        <v>jlramirez</v>
      </c>
    </row>
    <row r="168" spans="1:19" x14ac:dyDescent="0.25">
      <c r="A168" s="34" t="s">
        <v>21</v>
      </c>
      <c r="B168" s="34">
        <v>12325392</v>
      </c>
      <c r="C168" s="34" t="s">
        <v>14</v>
      </c>
      <c r="D168" s="34" t="s">
        <v>415</v>
      </c>
      <c r="E168" s="8">
        <v>44650</v>
      </c>
      <c r="F168" s="31">
        <v>44657</v>
      </c>
      <c r="G168" s="31">
        <v>44652</v>
      </c>
      <c r="H168" s="36">
        <v>3</v>
      </c>
      <c r="I168" s="34" t="s">
        <v>72</v>
      </c>
      <c r="J168" s="34" t="s">
        <v>73</v>
      </c>
      <c r="K168" s="36" t="s">
        <v>117</v>
      </c>
      <c r="L168" s="36" t="s">
        <v>117</v>
      </c>
      <c r="M168" s="36" t="s">
        <v>49</v>
      </c>
      <c r="N168" s="36" t="s">
        <v>117</v>
      </c>
      <c r="O168" s="34" t="s">
        <v>8</v>
      </c>
      <c r="P168" s="34">
        <v>7</v>
      </c>
      <c r="Q168" s="34" t="s">
        <v>20</v>
      </c>
      <c r="R168" s="34" t="s">
        <v>491</v>
      </c>
      <c r="S168" s="38" t="str">
        <f t="shared" si="2"/>
        <v>jlramirez</v>
      </c>
    </row>
    <row r="169" spans="1:19" x14ac:dyDescent="0.25">
      <c r="A169" s="34" t="s">
        <v>21</v>
      </c>
      <c r="B169" s="34">
        <v>12322704</v>
      </c>
      <c r="C169" s="34" t="s">
        <v>14</v>
      </c>
      <c r="D169" s="34" t="s">
        <v>427</v>
      </c>
      <c r="E169" s="8">
        <v>44650</v>
      </c>
      <c r="F169" s="31">
        <v>44657</v>
      </c>
      <c r="G169" s="31">
        <v>44652</v>
      </c>
      <c r="H169" s="36">
        <v>3</v>
      </c>
      <c r="I169" s="34" t="s">
        <v>72</v>
      </c>
      <c r="J169" s="34" t="s">
        <v>73</v>
      </c>
      <c r="K169" s="36" t="s">
        <v>117</v>
      </c>
      <c r="L169" s="36" t="s">
        <v>117</v>
      </c>
      <c r="M169" s="36" t="s">
        <v>49</v>
      </c>
      <c r="N169" s="36" t="s">
        <v>117</v>
      </c>
      <c r="O169" s="34" t="s">
        <v>8</v>
      </c>
      <c r="P169" s="34">
        <v>7</v>
      </c>
      <c r="Q169" s="34" t="s">
        <v>20</v>
      </c>
      <c r="R169" s="34" t="s">
        <v>496</v>
      </c>
      <c r="S169" s="38" t="str">
        <f t="shared" si="2"/>
        <v>jlramirez</v>
      </c>
    </row>
    <row r="170" spans="1:19" x14ac:dyDescent="0.25">
      <c r="A170" s="34" t="s">
        <v>21</v>
      </c>
      <c r="B170" s="34">
        <v>12322872</v>
      </c>
      <c r="C170" s="34" t="s">
        <v>14</v>
      </c>
      <c r="D170" s="34" t="s">
        <v>430</v>
      </c>
      <c r="E170" s="8">
        <v>44650</v>
      </c>
      <c r="F170" s="31">
        <v>44657</v>
      </c>
      <c r="G170" s="31">
        <v>44652</v>
      </c>
      <c r="H170" s="36">
        <v>3</v>
      </c>
      <c r="I170" s="34" t="s">
        <v>72</v>
      </c>
      <c r="J170" s="34" t="s">
        <v>73</v>
      </c>
      <c r="K170" s="36" t="s">
        <v>117</v>
      </c>
      <c r="L170" s="36" t="s">
        <v>117</v>
      </c>
      <c r="M170" s="36" t="s">
        <v>49</v>
      </c>
      <c r="N170" s="36" t="s">
        <v>117</v>
      </c>
      <c r="O170" s="34" t="s">
        <v>8</v>
      </c>
      <c r="P170" s="34">
        <v>7</v>
      </c>
      <c r="Q170" s="34" t="s">
        <v>20</v>
      </c>
      <c r="R170" s="34" t="s">
        <v>497</v>
      </c>
      <c r="S170" s="38" t="str">
        <f t="shared" si="2"/>
        <v>jlramirez</v>
      </c>
    </row>
    <row r="171" spans="1:19" x14ac:dyDescent="0.25">
      <c r="A171" s="34" t="s">
        <v>21</v>
      </c>
      <c r="B171" s="34">
        <v>12320082</v>
      </c>
      <c r="C171" s="34" t="s">
        <v>14</v>
      </c>
      <c r="D171" s="34" t="s">
        <v>420</v>
      </c>
      <c r="E171" s="8">
        <v>44650</v>
      </c>
      <c r="F171" s="31">
        <v>44657</v>
      </c>
      <c r="G171" s="31">
        <v>44652</v>
      </c>
      <c r="H171" s="36">
        <v>3</v>
      </c>
      <c r="I171" s="34" t="s">
        <v>72</v>
      </c>
      <c r="J171" s="34" t="s">
        <v>73</v>
      </c>
      <c r="K171" s="36" t="s">
        <v>117</v>
      </c>
      <c r="L171" s="36" t="s">
        <v>117</v>
      </c>
      <c r="M171" s="36" t="s">
        <v>49</v>
      </c>
      <c r="N171" s="36" t="s">
        <v>117</v>
      </c>
      <c r="O171" s="34" t="s">
        <v>8</v>
      </c>
      <c r="P171" s="34">
        <v>7</v>
      </c>
      <c r="Q171" s="34" t="s">
        <v>20</v>
      </c>
      <c r="R171" s="34" t="s">
        <v>498</v>
      </c>
      <c r="S171" s="38" t="str">
        <f t="shared" si="2"/>
        <v>jlramirez</v>
      </c>
    </row>
    <row r="172" spans="1:19" x14ac:dyDescent="0.25">
      <c r="A172" s="34" t="s">
        <v>15</v>
      </c>
      <c r="B172" s="34">
        <v>12316147</v>
      </c>
      <c r="C172" s="34" t="s">
        <v>9</v>
      </c>
      <c r="D172" s="34" t="s">
        <v>426</v>
      </c>
      <c r="E172" s="8">
        <v>44650</v>
      </c>
      <c r="F172" s="31">
        <v>44657</v>
      </c>
      <c r="G172" s="31">
        <v>44652</v>
      </c>
      <c r="H172" s="36">
        <v>3</v>
      </c>
      <c r="I172" s="34" t="s">
        <v>72</v>
      </c>
      <c r="J172" s="34" t="s">
        <v>73</v>
      </c>
      <c r="K172" s="36" t="s">
        <v>117</v>
      </c>
      <c r="L172" s="36" t="s">
        <v>117</v>
      </c>
      <c r="M172" s="36" t="s">
        <v>49</v>
      </c>
      <c r="N172" s="36" t="s">
        <v>117</v>
      </c>
      <c r="O172" s="34" t="s">
        <v>8</v>
      </c>
      <c r="P172" s="34">
        <v>7</v>
      </c>
      <c r="Q172" s="34" t="s">
        <v>20</v>
      </c>
      <c r="R172" s="34" t="s">
        <v>524</v>
      </c>
      <c r="S172" s="38" t="str">
        <f t="shared" si="2"/>
        <v>bquirogan</v>
      </c>
    </row>
    <row r="173" spans="1:19" x14ac:dyDescent="0.25">
      <c r="A173" s="34" t="s">
        <v>17</v>
      </c>
      <c r="B173" s="34">
        <v>12324125</v>
      </c>
      <c r="C173" s="34" t="s">
        <v>9</v>
      </c>
      <c r="D173" s="34" t="s">
        <v>414</v>
      </c>
      <c r="E173" s="8">
        <v>44650</v>
      </c>
      <c r="F173" s="31">
        <v>44657</v>
      </c>
      <c r="G173" s="31">
        <v>44652</v>
      </c>
      <c r="H173" s="36">
        <v>3</v>
      </c>
      <c r="I173" s="34" t="s">
        <v>72</v>
      </c>
      <c r="J173" s="34" t="s">
        <v>73</v>
      </c>
      <c r="K173" s="36" t="s">
        <v>117</v>
      </c>
      <c r="L173" s="36" t="s">
        <v>117</v>
      </c>
      <c r="M173" s="36" t="s">
        <v>49</v>
      </c>
      <c r="N173" s="36" t="s">
        <v>117</v>
      </c>
      <c r="O173" s="34" t="s">
        <v>8</v>
      </c>
      <c r="P173" s="34">
        <v>7</v>
      </c>
      <c r="Q173" s="34" t="s">
        <v>20</v>
      </c>
      <c r="R173" s="34" t="s">
        <v>536</v>
      </c>
      <c r="S173" s="38" t="str">
        <f t="shared" si="2"/>
        <v>jjleon</v>
      </c>
    </row>
    <row r="174" spans="1:19" x14ac:dyDescent="0.25">
      <c r="A174" s="34" t="s">
        <v>15</v>
      </c>
      <c r="B174" s="34">
        <v>12315778</v>
      </c>
      <c r="C174" s="34" t="s">
        <v>9</v>
      </c>
      <c r="D174" s="34" t="s">
        <v>416</v>
      </c>
      <c r="E174" s="8">
        <v>44650</v>
      </c>
      <c r="F174" s="31">
        <v>44657</v>
      </c>
      <c r="G174" s="31">
        <v>44652</v>
      </c>
      <c r="H174" s="36">
        <v>3</v>
      </c>
      <c r="I174" s="34" t="s">
        <v>72</v>
      </c>
      <c r="J174" s="34" t="s">
        <v>73</v>
      </c>
      <c r="K174" s="36" t="s">
        <v>117</v>
      </c>
      <c r="L174" s="36" t="s">
        <v>117</v>
      </c>
      <c r="M174" s="36" t="s">
        <v>47</v>
      </c>
      <c r="N174" s="36" t="s">
        <v>117</v>
      </c>
      <c r="O174" s="34" t="s">
        <v>8</v>
      </c>
      <c r="P174" s="34">
        <v>2</v>
      </c>
      <c r="Q174" s="34" t="s">
        <v>12</v>
      </c>
      <c r="R174" s="34" t="s">
        <v>345</v>
      </c>
      <c r="S174" s="38" t="str">
        <f t="shared" si="2"/>
        <v>bquirogan</v>
      </c>
    </row>
    <row r="175" spans="1:19" x14ac:dyDescent="0.25">
      <c r="A175" s="34" t="s">
        <v>17</v>
      </c>
      <c r="B175" s="34">
        <v>12315990</v>
      </c>
      <c r="C175" s="34" t="s">
        <v>9</v>
      </c>
      <c r="D175" s="34" t="s">
        <v>417</v>
      </c>
      <c r="E175" s="8">
        <v>44650</v>
      </c>
      <c r="F175" s="31">
        <v>44657</v>
      </c>
      <c r="G175" s="31">
        <v>44652</v>
      </c>
      <c r="H175" s="36">
        <v>3</v>
      </c>
      <c r="I175" s="34" t="s">
        <v>72</v>
      </c>
      <c r="J175" s="34" t="s">
        <v>73</v>
      </c>
      <c r="K175" s="36" t="s">
        <v>117</v>
      </c>
      <c r="L175" s="36" t="s">
        <v>117</v>
      </c>
      <c r="M175" s="36" t="s">
        <v>47</v>
      </c>
      <c r="N175" s="36" t="s">
        <v>117</v>
      </c>
      <c r="O175" s="34" t="s">
        <v>8</v>
      </c>
      <c r="P175" s="34">
        <v>2</v>
      </c>
      <c r="Q175" s="34" t="s">
        <v>12</v>
      </c>
      <c r="R175" s="34" t="s">
        <v>346</v>
      </c>
      <c r="S175" s="38" t="str">
        <f t="shared" si="2"/>
        <v>jjleon</v>
      </c>
    </row>
    <row r="176" spans="1:19" x14ac:dyDescent="0.25">
      <c r="A176" s="34" t="s">
        <v>15</v>
      </c>
      <c r="B176" s="34">
        <v>12317161</v>
      </c>
      <c r="C176" s="34" t="s">
        <v>9</v>
      </c>
      <c r="D176" s="34" t="s">
        <v>418</v>
      </c>
      <c r="E176" s="8">
        <v>44650</v>
      </c>
      <c r="F176" s="31">
        <v>44657</v>
      </c>
      <c r="G176" s="31">
        <v>44652</v>
      </c>
      <c r="H176" s="36">
        <v>3</v>
      </c>
      <c r="I176" s="34" t="s">
        <v>72</v>
      </c>
      <c r="J176" s="34" t="s">
        <v>73</v>
      </c>
      <c r="K176" s="36" t="s">
        <v>117</v>
      </c>
      <c r="L176" s="36" t="s">
        <v>117</v>
      </c>
      <c r="M176" s="36" t="s">
        <v>47</v>
      </c>
      <c r="N176" s="36" t="s">
        <v>117</v>
      </c>
      <c r="O176" s="34" t="s">
        <v>8</v>
      </c>
      <c r="P176" s="34">
        <v>2</v>
      </c>
      <c r="Q176" s="34" t="s">
        <v>12</v>
      </c>
      <c r="R176" s="34" t="s">
        <v>347</v>
      </c>
      <c r="S176" s="38" t="str">
        <f t="shared" si="2"/>
        <v>bquirogan</v>
      </c>
    </row>
    <row r="177" spans="1:19" x14ac:dyDescent="0.25">
      <c r="A177" s="34" t="s">
        <v>17</v>
      </c>
      <c r="B177" s="34">
        <v>12318669</v>
      </c>
      <c r="C177" s="34" t="s">
        <v>9</v>
      </c>
      <c r="D177" s="34" t="s">
        <v>419</v>
      </c>
      <c r="E177" s="8">
        <v>44650</v>
      </c>
      <c r="F177" s="31">
        <v>44657</v>
      </c>
      <c r="G177" s="31">
        <v>44652</v>
      </c>
      <c r="H177" s="36">
        <v>3</v>
      </c>
      <c r="I177" s="34" t="s">
        <v>72</v>
      </c>
      <c r="J177" s="34" t="s">
        <v>73</v>
      </c>
      <c r="K177" s="36" t="s">
        <v>117</v>
      </c>
      <c r="L177" s="36" t="s">
        <v>117</v>
      </c>
      <c r="M177" s="36" t="s">
        <v>47</v>
      </c>
      <c r="N177" s="36" t="s">
        <v>117</v>
      </c>
      <c r="O177" s="34" t="s">
        <v>8</v>
      </c>
      <c r="P177" s="34">
        <v>2</v>
      </c>
      <c r="Q177" s="34" t="s">
        <v>12</v>
      </c>
      <c r="R177" s="34" t="s">
        <v>348</v>
      </c>
      <c r="S177" s="38" t="str">
        <f t="shared" si="2"/>
        <v>jjleon</v>
      </c>
    </row>
    <row r="178" spans="1:19" x14ac:dyDescent="0.25">
      <c r="A178" s="34" t="s">
        <v>15</v>
      </c>
      <c r="B178" s="34">
        <v>12320142</v>
      </c>
      <c r="C178" s="34" t="s">
        <v>9</v>
      </c>
      <c r="D178" s="34" t="s">
        <v>421</v>
      </c>
      <c r="E178" s="8">
        <v>44650</v>
      </c>
      <c r="F178" s="31">
        <v>44657</v>
      </c>
      <c r="G178" s="31">
        <v>44652</v>
      </c>
      <c r="H178" s="36">
        <v>3</v>
      </c>
      <c r="I178" s="34" t="s">
        <v>72</v>
      </c>
      <c r="J178" s="34" t="s">
        <v>73</v>
      </c>
      <c r="K178" s="36" t="s">
        <v>117</v>
      </c>
      <c r="L178" s="36" t="s">
        <v>117</v>
      </c>
      <c r="M178" s="36" t="s">
        <v>47</v>
      </c>
      <c r="N178" s="36" t="s">
        <v>117</v>
      </c>
      <c r="O178" s="34" t="s">
        <v>8</v>
      </c>
      <c r="P178" s="34">
        <v>2</v>
      </c>
      <c r="Q178" s="34" t="s">
        <v>12</v>
      </c>
      <c r="R178" s="34" t="s">
        <v>350</v>
      </c>
      <c r="S178" s="38" t="str">
        <f t="shared" si="2"/>
        <v>bquirogan</v>
      </c>
    </row>
    <row r="179" spans="1:19" x14ac:dyDescent="0.25">
      <c r="A179" s="34" t="s">
        <v>15</v>
      </c>
      <c r="B179" s="34">
        <v>12322011</v>
      </c>
      <c r="C179" s="34" t="s">
        <v>9</v>
      </c>
      <c r="D179" s="34" t="s">
        <v>424</v>
      </c>
      <c r="E179" s="8">
        <v>44650</v>
      </c>
      <c r="F179" s="31">
        <v>44657</v>
      </c>
      <c r="G179" s="31">
        <v>44652</v>
      </c>
      <c r="H179" s="36">
        <v>3</v>
      </c>
      <c r="I179" s="34" t="s">
        <v>72</v>
      </c>
      <c r="J179" s="34" t="s">
        <v>73</v>
      </c>
      <c r="K179" s="36" t="s">
        <v>117</v>
      </c>
      <c r="L179" s="36" t="s">
        <v>117</v>
      </c>
      <c r="M179" s="36" t="s">
        <v>47</v>
      </c>
      <c r="N179" s="36" t="s">
        <v>117</v>
      </c>
      <c r="O179" s="34" t="s">
        <v>8</v>
      </c>
      <c r="P179" s="34">
        <v>2</v>
      </c>
      <c r="Q179" s="34" t="s">
        <v>12</v>
      </c>
      <c r="R179" s="34" t="s">
        <v>354</v>
      </c>
      <c r="S179" s="38" t="str">
        <f t="shared" si="2"/>
        <v>bquirogan</v>
      </c>
    </row>
    <row r="180" spans="1:19" x14ac:dyDescent="0.25">
      <c r="A180" s="34" t="s">
        <v>15</v>
      </c>
      <c r="B180" s="34">
        <v>12322705</v>
      </c>
      <c r="C180" s="34" t="s">
        <v>9</v>
      </c>
      <c r="D180" s="34" t="s">
        <v>428</v>
      </c>
      <c r="E180" s="8">
        <v>44650</v>
      </c>
      <c r="F180" s="31">
        <v>44657</v>
      </c>
      <c r="G180" s="31">
        <v>44652</v>
      </c>
      <c r="H180" s="36">
        <v>3</v>
      </c>
      <c r="I180" s="34" t="s">
        <v>72</v>
      </c>
      <c r="J180" s="34" t="s">
        <v>73</v>
      </c>
      <c r="K180" s="36" t="s">
        <v>117</v>
      </c>
      <c r="L180" s="36" t="s">
        <v>117</v>
      </c>
      <c r="M180" s="36" t="s">
        <v>47</v>
      </c>
      <c r="N180" s="36" t="s">
        <v>117</v>
      </c>
      <c r="O180" s="34" t="s">
        <v>8</v>
      </c>
      <c r="P180" s="34">
        <v>2</v>
      </c>
      <c r="Q180" s="34" t="s">
        <v>12</v>
      </c>
      <c r="R180" s="34" t="s">
        <v>359</v>
      </c>
      <c r="S180" s="38" t="str">
        <f t="shared" si="2"/>
        <v>bquirogan</v>
      </c>
    </row>
    <row r="181" spans="1:19" x14ac:dyDescent="0.25">
      <c r="A181" s="34" t="s">
        <v>15</v>
      </c>
      <c r="B181" s="34">
        <v>12323089</v>
      </c>
      <c r="C181" s="34" t="s">
        <v>9</v>
      </c>
      <c r="D181" s="34" t="s">
        <v>431</v>
      </c>
      <c r="E181" s="8">
        <v>44650</v>
      </c>
      <c r="F181" s="31">
        <v>44657</v>
      </c>
      <c r="G181" s="31">
        <v>44652</v>
      </c>
      <c r="H181" s="36">
        <v>3</v>
      </c>
      <c r="I181" s="34" t="s">
        <v>72</v>
      </c>
      <c r="J181" s="34" t="s">
        <v>73</v>
      </c>
      <c r="K181" s="36" t="s">
        <v>117</v>
      </c>
      <c r="L181" s="36" t="s">
        <v>117</v>
      </c>
      <c r="M181" s="36" t="s">
        <v>47</v>
      </c>
      <c r="N181" s="36" t="s">
        <v>117</v>
      </c>
      <c r="O181" s="34" t="s">
        <v>8</v>
      </c>
      <c r="P181" s="34">
        <v>2</v>
      </c>
      <c r="Q181" s="34" t="s">
        <v>12</v>
      </c>
      <c r="R181" s="34" t="s">
        <v>364</v>
      </c>
      <c r="S181" s="38" t="str">
        <f t="shared" si="2"/>
        <v>bquirogan</v>
      </c>
    </row>
    <row r="182" spans="1:19" x14ac:dyDescent="0.25">
      <c r="A182" s="34" t="s">
        <v>15</v>
      </c>
      <c r="B182" s="34">
        <v>12324050</v>
      </c>
      <c r="C182" s="34" t="s">
        <v>9</v>
      </c>
      <c r="D182" s="34" t="s">
        <v>434</v>
      </c>
      <c r="E182" s="8">
        <v>44650</v>
      </c>
      <c r="F182" s="31">
        <v>44657</v>
      </c>
      <c r="G182" s="31">
        <v>44652</v>
      </c>
      <c r="H182" s="36">
        <v>3</v>
      </c>
      <c r="I182" s="34" t="s">
        <v>72</v>
      </c>
      <c r="J182" s="34" t="s">
        <v>73</v>
      </c>
      <c r="K182" s="36" t="s">
        <v>117</v>
      </c>
      <c r="L182" s="36" t="s">
        <v>117</v>
      </c>
      <c r="M182" s="36" t="s">
        <v>47</v>
      </c>
      <c r="N182" s="36" t="s">
        <v>117</v>
      </c>
      <c r="O182" s="34" t="s">
        <v>8</v>
      </c>
      <c r="P182" s="34">
        <v>2</v>
      </c>
      <c r="Q182" s="34" t="s">
        <v>12</v>
      </c>
      <c r="R182" s="34" t="s">
        <v>377</v>
      </c>
      <c r="S182" s="38" t="str">
        <f t="shared" si="2"/>
        <v>bquirogan</v>
      </c>
    </row>
    <row r="183" spans="1:19" x14ac:dyDescent="0.25">
      <c r="A183" s="34" t="s">
        <v>15</v>
      </c>
      <c r="B183" s="34">
        <v>12324386</v>
      </c>
      <c r="C183" s="34" t="s">
        <v>9</v>
      </c>
      <c r="D183" s="34" t="s">
        <v>437</v>
      </c>
      <c r="E183" s="8">
        <v>44650</v>
      </c>
      <c r="F183" s="31">
        <v>44657</v>
      </c>
      <c r="G183" s="31">
        <v>44652</v>
      </c>
      <c r="H183" s="36">
        <v>3</v>
      </c>
      <c r="I183" s="34" t="s">
        <v>72</v>
      </c>
      <c r="J183" s="34" t="s">
        <v>73</v>
      </c>
      <c r="K183" s="36" t="s">
        <v>117</v>
      </c>
      <c r="L183" s="36" t="s">
        <v>117</v>
      </c>
      <c r="M183" s="36" t="s">
        <v>47</v>
      </c>
      <c r="N183" s="36" t="s">
        <v>117</v>
      </c>
      <c r="O183" s="34" t="s">
        <v>8</v>
      </c>
      <c r="P183" s="34">
        <v>2</v>
      </c>
      <c r="Q183" s="34" t="s">
        <v>12</v>
      </c>
      <c r="R183" s="34" t="s">
        <v>384</v>
      </c>
      <c r="S183" s="38" t="str">
        <f t="shared" si="2"/>
        <v>bquirogan</v>
      </c>
    </row>
    <row r="184" spans="1:19" x14ac:dyDescent="0.25">
      <c r="A184" s="34" t="s">
        <v>15</v>
      </c>
      <c r="B184" s="34">
        <v>12325040</v>
      </c>
      <c r="C184" s="34" t="s">
        <v>9</v>
      </c>
      <c r="D184" s="34" t="s">
        <v>442</v>
      </c>
      <c r="E184" s="8">
        <v>44650</v>
      </c>
      <c r="F184" s="31">
        <v>44657</v>
      </c>
      <c r="G184" s="31">
        <v>44652</v>
      </c>
      <c r="H184" s="36">
        <v>3</v>
      </c>
      <c r="I184" s="34" t="s">
        <v>72</v>
      </c>
      <c r="J184" s="34" t="s">
        <v>73</v>
      </c>
      <c r="K184" s="36" t="s">
        <v>117</v>
      </c>
      <c r="L184" s="36" t="s">
        <v>117</v>
      </c>
      <c r="M184" s="36" t="s">
        <v>47</v>
      </c>
      <c r="N184" s="36" t="s">
        <v>117</v>
      </c>
      <c r="O184" s="34" t="s">
        <v>8</v>
      </c>
      <c r="P184" s="34">
        <v>2</v>
      </c>
      <c r="Q184" s="34" t="s">
        <v>12</v>
      </c>
      <c r="R184" s="34" t="s">
        <v>397</v>
      </c>
      <c r="S184" s="38" t="str">
        <f t="shared" si="2"/>
        <v>bquirogan</v>
      </c>
    </row>
    <row r="185" spans="1:19" x14ac:dyDescent="0.25">
      <c r="A185" s="34" t="s">
        <v>15</v>
      </c>
      <c r="B185" s="34">
        <v>12325690</v>
      </c>
      <c r="C185" s="34" t="s">
        <v>9</v>
      </c>
      <c r="D185" s="34" t="s">
        <v>444</v>
      </c>
      <c r="E185" s="8">
        <v>44650</v>
      </c>
      <c r="F185" s="31">
        <v>44657</v>
      </c>
      <c r="G185" s="31">
        <v>44652</v>
      </c>
      <c r="H185" s="36">
        <v>3</v>
      </c>
      <c r="I185" s="34" t="s">
        <v>72</v>
      </c>
      <c r="J185" s="34" t="s">
        <v>73</v>
      </c>
      <c r="K185" s="36" t="s">
        <v>117</v>
      </c>
      <c r="L185" s="36" t="s">
        <v>117</v>
      </c>
      <c r="M185" s="36" t="s">
        <v>47</v>
      </c>
      <c r="N185" s="36" t="s">
        <v>117</v>
      </c>
      <c r="O185" s="34" t="s">
        <v>8</v>
      </c>
      <c r="P185" s="34">
        <v>2</v>
      </c>
      <c r="Q185" s="34" t="s">
        <v>12</v>
      </c>
      <c r="R185" s="34" t="s">
        <v>399</v>
      </c>
      <c r="S185" s="38" t="str">
        <f t="shared" si="2"/>
        <v>bquirogan</v>
      </c>
    </row>
    <row r="186" spans="1:19" x14ac:dyDescent="0.25">
      <c r="A186" s="34" t="s">
        <v>15</v>
      </c>
      <c r="B186" s="34">
        <v>12326073</v>
      </c>
      <c r="C186" s="34" t="s">
        <v>9</v>
      </c>
      <c r="D186" s="34" t="s">
        <v>446</v>
      </c>
      <c r="E186" s="8">
        <v>44650</v>
      </c>
      <c r="F186" s="31">
        <v>44657</v>
      </c>
      <c r="G186" s="31">
        <v>44652</v>
      </c>
      <c r="H186" s="36">
        <v>3</v>
      </c>
      <c r="I186" s="34" t="s">
        <v>72</v>
      </c>
      <c r="J186" s="34" t="s">
        <v>73</v>
      </c>
      <c r="K186" s="36" t="s">
        <v>117</v>
      </c>
      <c r="L186" s="36" t="s">
        <v>117</v>
      </c>
      <c r="M186" s="36" t="s">
        <v>47</v>
      </c>
      <c r="N186" s="36" t="s">
        <v>117</v>
      </c>
      <c r="O186" s="34" t="s">
        <v>8</v>
      </c>
      <c r="P186" s="34">
        <v>2</v>
      </c>
      <c r="Q186" s="34" t="s">
        <v>12</v>
      </c>
      <c r="R186" s="34" t="s">
        <v>401</v>
      </c>
      <c r="S186" s="38" t="str">
        <f t="shared" si="2"/>
        <v>bquirogan</v>
      </c>
    </row>
    <row r="187" spans="1:19" x14ac:dyDescent="0.25">
      <c r="A187" s="34" t="s">
        <v>21</v>
      </c>
      <c r="B187" s="34">
        <v>12321117</v>
      </c>
      <c r="C187" s="34" t="s">
        <v>14</v>
      </c>
      <c r="D187" s="34" t="s">
        <v>438</v>
      </c>
      <c r="E187" s="8">
        <v>44650</v>
      </c>
      <c r="F187" s="31">
        <v>44657</v>
      </c>
      <c r="G187" s="31">
        <v>44652</v>
      </c>
      <c r="H187" s="36">
        <v>3</v>
      </c>
      <c r="I187" s="34" t="s">
        <v>72</v>
      </c>
      <c r="J187" s="34" t="s">
        <v>73</v>
      </c>
      <c r="K187" s="36" t="s">
        <v>117</v>
      </c>
      <c r="L187" s="36" t="s">
        <v>117</v>
      </c>
      <c r="M187" s="36" t="s">
        <v>49</v>
      </c>
      <c r="N187" s="36" t="s">
        <v>117</v>
      </c>
      <c r="O187" s="34" t="s">
        <v>8</v>
      </c>
      <c r="P187" s="34">
        <v>7</v>
      </c>
      <c r="Q187" s="34" t="s">
        <v>20</v>
      </c>
      <c r="R187" s="34" t="s">
        <v>559</v>
      </c>
      <c r="S187" s="38" t="str">
        <f t="shared" si="2"/>
        <v>jlramirez</v>
      </c>
    </row>
    <row r="188" spans="1:19" x14ac:dyDescent="0.25">
      <c r="A188" s="34" t="s">
        <v>21</v>
      </c>
      <c r="B188" s="34">
        <v>12322804</v>
      </c>
      <c r="C188" s="34" t="s">
        <v>14</v>
      </c>
      <c r="D188" s="34" t="s">
        <v>440</v>
      </c>
      <c r="E188" s="8">
        <v>44650</v>
      </c>
      <c r="F188" s="31">
        <v>44657</v>
      </c>
      <c r="G188" s="31">
        <v>44652</v>
      </c>
      <c r="H188" s="36">
        <v>3</v>
      </c>
      <c r="I188" s="34" t="s">
        <v>72</v>
      </c>
      <c r="J188" s="34" t="s">
        <v>73</v>
      </c>
      <c r="K188" s="36" t="s">
        <v>117</v>
      </c>
      <c r="L188" s="36" t="s">
        <v>117</v>
      </c>
      <c r="M188" s="36" t="s">
        <v>49</v>
      </c>
      <c r="N188" s="36" t="s">
        <v>117</v>
      </c>
      <c r="O188" s="34" t="s">
        <v>8</v>
      </c>
      <c r="P188" s="34">
        <v>7</v>
      </c>
      <c r="Q188" s="34" t="s">
        <v>20</v>
      </c>
      <c r="R188" s="34" t="s">
        <v>560</v>
      </c>
      <c r="S188" s="38" t="str">
        <f t="shared" si="2"/>
        <v>jlramirez</v>
      </c>
    </row>
    <row r="189" spans="1:19" x14ac:dyDescent="0.25">
      <c r="A189" s="34" t="s">
        <v>22</v>
      </c>
      <c r="B189" s="34">
        <v>12321719</v>
      </c>
      <c r="C189" s="34" t="s">
        <v>24</v>
      </c>
      <c r="D189" s="34" t="s">
        <v>448</v>
      </c>
      <c r="E189" s="8">
        <v>44650</v>
      </c>
      <c r="F189" s="31">
        <v>44657</v>
      </c>
      <c r="G189" s="31">
        <v>44652</v>
      </c>
      <c r="H189" s="36">
        <v>3</v>
      </c>
      <c r="I189" s="34" t="s">
        <v>72</v>
      </c>
      <c r="J189" s="34" t="s">
        <v>73</v>
      </c>
      <c r="K189" s="36" t="s">
        <v>117</v>
      </c>
      <c r="L189" s="36" t="s">
        <v>117</v>
      </c>
      <c r="M189" s="36" t="s">
        <v>47</v>
      </c>
      <c r="N189" s="36" t="s">
        <v>117</v>
      </c>
      <c r="O189" s="34" t="s">
        <v>28</v>
      </c>
      <c r="P189" s="34">
        <v>2</v>
      </c>
      <c r="Q189" s="34" t="s">
        <v>30</v>
      </c>
      <c r="R189" s="34" t="s">
        <v>403</v>
      </c>
      <c r="S189" s="38" t="str">
        <f t="shared" si="2"/>
        <v>mespejov</v>
      </c>
    </row>
    <row r="190" spans="1:19" x14ac:dyDescent="0.25">
      <c r="A190" s="34" t="s">
        <v>17</v>
      </c>
      <c r="B190" s="34">
        <v>12327569</v>
      </c>
      <c r="C190" s="34" t="s">
        <v>9</v>
      </c>
      <c r="D190" s="34" t="s">
        <v>582</v>
      </c>
      <c r="E190" s="8">
        <v>44651</v>
      </c>
      <c r="F190" s="31">
        <v>44658</v>
      </c>
      <c r="G190" s="31">
        <v>44652</v>
      </c>
      <c r="H190" s="36">
        <v>2</v>
      </c>
      <c r="I190" s="34" t="s">
        <v>72</v>
      </c>
      <c r="J190" s="34" t="s">
        <v>73</v>
      </c>
      <c r="K190" s="36" t="s">
        <v>117</v>
      </c>
      <c r="L190" s="36" t="s">
        <v>117</v>
      </c>
      <c r="M190" s="36" t="s">
        <v>47</v>
      </c>
      <c r="N190" s="36" t="s">
        <v>117</v>
      </c>
      <c r="O190" s="34" t="s">
        <v>26</v>
      </c>
      <c r="P190" s="34">
        <v>2</v>
      </c>
      <c r="Q190" s="34" t="s">
        <v>12</v>
      </c>
      <c r="R190" s="34" t="s">
        <v>450</v>
      </c>
      <c r="S190" s="38" t="str">
        <f t="shared" si="2"/>
        <v>jjleon</v>
      </c>
    </row>
    <row r="191" spans="1:19" x14ac:dyDescent="0.25">
      <c r="A191" s="34" t="s">
        <v>17</v>
      </c>
      <c r="B191" s="34">
        <v>12332446</v>
      </c>
      <c r="C191" s="34" t="s">
        <v>9</v>
      </c>
      <c r="D191" s="34" t="s">
        <v>583</v>
      </c>
      <c r="E191" s="8">
        <v>44651</v>
      </c>
      <c r="F191" s="31">
        <v>44658</v>
      </c>
      <c r="G191" s="31">
        <v>44652</v>
      </c>
      <c r="H191" s="36">
        <v>2</v>
      </c>
      <c r="I191" s="34" t="s">
        <v>72</v>
      </c>
      <c r="J191" s="34" t="s">
        <v>73</v>
      </c>
      <c r="K191" s="36" t="s">
        <v>117</v>
      </c>
      <c r="L191" s="36" t="s">
        <v>117</v>
      </c>
      <c r="M191" s="36" t="s">
        <v>47</v>
      </c>
      <c r="N191" s="36" t="s">
        <v>117</v>
      </c>
      <c r="O191" s="34" t="s">
        <v>26</v>
      </c>
      <c r="P191" s="34">
        <v>2</v>
      </c>
      <c r="Q191" s="34" t="s">
        <v>12</v>
      </c>
      <c r="R191" s="34" t="s">
        <v>454</v>
      </c>
      <c r="S191" s="38" t="str">
        <f t="shared" si="2"/>
        <v>jjleon</v>
      </c>
    </row>
    <row r="192" spans="1:19" x14ac:dyDescent="0.25">
      <c r="A192" s="34" t="s">
        <v>17</v>
      </c>
      <c r="B192" s="34">
        <v>12337275</v>
      </c>
      <c r="C192" s="34" t="s">
        <v>9</v>
      </c>
      <c r="D192" s="34" t="s">
        <v>584</v>
      </c>
      <c r="E192" s="8">
        <v>44651</v>
      </c>
      <c r="F192" s="31">
        <v>44658</v>
      </c>
      <c r="G192" s="31">
        <v>44652</v>
      </c>
      <c r="H192" s="36">
        <v>2</v>
      </c>
      <c r="I192" s="34" t="s">
        <v>72</v>
      </c>
      <c r="J192" s="34" t="s">
        <v>73</v>
      </c>
      <c r="K192" s="36" t="s">
        <v>117</v>
      </c>
      <c r="L192" s="36" t="s">
        <v>117</v>
      </c>
      <c r="M192" s="36" t="s">
        <v>47</v>
      </c>
      <c r="N192" s="36" t="s">
        <v>117</v>
      </c>
      <c r="O192" s="34" t="s">
        <v>26</v>
      </c>
      <c r="P192" s="34">
        <v>2</v>
      </c>
      <c r="Q192" s="34" t="s">
        <v>12</v>
      </c>
      <c r="R192" s="34" t="s">
        <v>456</v>
      </c>
      <c r="S192" s="38" t="str">
        <f t="shared" si="2"/>
        <v>jjleon</v>
      </c>
    </row>
    <row r="193" spans="1:19" x14ac:dyDescent="0.25">
      <c r="A193" s="34" t="s">
        <v>15</v>
      </c>
      <c r="B193" s="34">
        <v>12328229</v>
      </c>
      <c r="C193" s="34" t="s">
        <v>9</v>
      </c>
      <c r="D193" s="34" t="s">
        <v>585</v>
      </c>
      <c r="E193" s="8">
        <v>44651</v>
      </c>
      <c r="F193" s="31">
        <v>44658</v>
      </c>
      <c r="G193" s="31">
        <v>44652</v>
      </c>
      <c r="H193" s="36">
        <v>2</v>
      </c>
      <c r="I193" s="34" t="s">
        <v>72</v>
      </c>
      <c r="J193" s="34" t="s">
        <v>73</v>
      </c>
      <c r="K193" s="36" t="s">
        <v>117</v>
      </c>
      <c r="L193" s="36" t="s">
        <v>117</v>
      </c>
      <c r="M193" s="36" t="s">
        <v>47</v>
      </c>
      <c r="N193" s="36" t="s">
        <v>117</v>
      </c>
      <c r="O193" s="34" t="s">
        <v>26</v>
      </c>
      <c r="P193" s="34">
        <v>2</v>
      </c>
      <c r="Q193" s="34" t="s">
        <v>12</v>
      </c>
      <c r="R193" s="34" t="s">
        <v>457</v>
      </c>
      <c r="S193" s="38" t="str">
        <f t="shared" si="2"/>
        <v>bquirogan</v>
      </c>
    </row>
    <row r="194" spans="1:19" x14ac:dyDescent="0.25">
      <c r="A194" s="34" t="s">
        <v>15</v>
      </c>
      <c r="B194" s="34">
        <v>12333122</v>
      </c>
      <c r="C194" s="34" t="s">
        <v>9</v>
      </c>
      <c r="D194" s="34" t="s">
        <v>423</v>
      </c>
      <c r="E194" s="8">
        <v>44651</v>
      </c>
      <c r="F194" s="31">
        <v>44658</v>
      </c>
      <c r="G194" s="31">
        <v>44652</v>
      </c>
      <c r="H194" s="36">
        <v>2</v>
      </c>
      <c r="I194" s="34" t="s">
        <v>72</v>
      </c>
      <c r="J194" s="34" t="s">
        <v>73</v>
      </c>
      <c r="K194" s="36" t="s">
        <v>117</v>
      </c>
      <c r="L194" s="36" t="s">
        <v>117</v>
      </c>
      <c r="M194" s="36" t="s">
        <v>47</v>
      </c>
      <c r="N194" s="36" t="s">
        <v>117</v>
      </c>
      <c r="O194" s="34" t="s">
        <v>26</v>
      </c>
      <c r="P194" s="34">
        <v>2</v>
      </c>
      <c r="Q194" s="34" t="s">
        <v>12</v>
      </c>
      <c r="R194" s="34" t="s">
        <v>460</v>
      </c>
      <c r="S194" s="38" t="str">
        <f t="shared" si="2"/>
        <v>bquirogan</v>
      </c>
    </row>
    <row r="195" spans="1:19" x14ac:dyDescent="0.25">
      <c r="A195" s="34" t="s">
        <v>17</v>
      </c>
      <c r="B195" s="34">
        <v>12327018</v>
      </c>
      <c r="C195" s="34" t="s">
        <v>9</v>
      </c>
      <c r="D195" s="34" t="s">
        <v>586</v>
      </c>
      <c r="E195" s="8">
        <v>44651</v>
      </c>
      <c r="F195" s="31">
        <v>44658</v>
      </c>
      <c r="G195" s="31">
        <v>44652</v>
      </c>
      <c r="H195" s="36">
        <v>2</v>
      </c>
      <c r="I195" s="34" t="s">
        <v>72</v>
      </c>
      <c r="J195" s="34" t="s">
        <v>73</v>
      </c>
      <c r="K195" s="36" t="s">
        <v>117</v>
      </c>
      <c r="L195" s="36" t="s">
        <v>117</v>
      </c>
      <c r="M195" s="36" t="s">
        <v>47</v>
      </c>
      <c r="N195" s="36" t="s">
        <v>117</v>
      </c>
      <c r="O195" s="34" t="s">
        <v>8</v>
      </c>
      <c r="P195" s="34">
        <v>2</v>
      </c>
      <c r="Q195" s="34" t="s">
        <v>12</v>
      </c>
      <c r="R195" s="34" t="s">
        <v>461</v>
      </c>
      <c r="S195" s="38" t="str">
        <f t="shared" ref="S195:S258" si="3">IF($A195="","",$A195)</f>
        <v>jjleon</v>
      </c>
    </row>
    <row r="196" spans="1:19" x14ac:dyDescent="0.25">
      <c r="A196" s="34" t="s">
        <v>17</v>
      </c>
      <c r="B196" s="34">
        <v>12327607</v>
      </c>
      <c r="C196" s="34" t="s">
        <v>9</v>
      </c>
      <c r="D196" s="34" t="s">
        <v>587</v>
      </c>
      <c r="E196" s="8">
        <v>44651</v>
      </c>
      <c r="F196" s="31">
        <v>44658</v>
      </c>
      <c r="G196" s="31">
        <v>44652</v>
      </c>
      <c r="H196" s="36">
        <v>2</v>
      </c>
      <c r="I196" s="34" t="s">
        <v>72</v>
      </c>
      <c r="J196" s="34" t="s">
        <v>73</v>
      </c>
      <c r="K196" s="36" t="s">
        <v>117</v>
      </c>
      <c r="L196" s="36" t="s">
        <v>117</v>
      </c>
      <c r="M196" s="36" t="s">
        <v>47</v>
      </c>
      <c r="N196" s="36" t="s">
        <v>117</v>
      </c>
      <c r="O196" s="34" t="s">
        <v>8</v>
      </c>
      <c r="P196" s="34">
        <v>2</v>
      </c>
      <c r="Q196" s="34" t="s">
        <v>12</v>
      </c>
      <c r="R196" s="34" t="s">
        <v>462</v>
      </c>
      <c r="S196" s="38" t="str">
        <f t="shared" si="3"/>
        <v>jjleon</v>
      </c>
    </row>
    <row r="197" spans="1:19" x14ac:dyDescent="0.25">
      <c r="A197" s="34" t="s">
        <v>17</v>
      </c>
      <c r="B197" s="34">
        <v>12328045</v>
      </c>
      <c r="C197" s="34" t="s">
        <v>9</v>
      </c>
      <c r="D197" s="34" t="s">
        <v>588</v>
      </c>
      <c r="E197" s="8">
        <v>44651</v>
      </c>
      <c r="F197" s="31">
        <v>44658</v>
      </c>
      <c r="G197" s="31">
        <v>44652</v>
      </c>
      <c r="H197" s="36">
        <v>2</v>
      </c>
      <c r="I197" s="34" t="s">
        <v>72</v>
      </c>
      <c r="J197" s="34" t="s">
        <v>73</v>
      </c>
      <c r="K197" s="36" t="s">
        <v>117</v>
      </c>
      <c r="L197" s="36" t="s">
        <v>117</v>
      </c>
      <c r="M197" s="36" t="s">
        <v>47</v>
      </c>
      <c r="N197" s="36" t="s">
        <v>117</v>
      </c>
      <c r="O197" s="34" t="s">
        <v>8</v>
      </c>
      <c r="P197" s="34">
        <v>2</v>
      </c>
      <c r="Q197" s="34" t="s">
        <v>12</v>
      </c>
      <c r="R197" s="34" t="s">
        <v>463</v>
      </c>
      <c r="S197" s="38" t="str">
        <f t="shared" si="3"/>
        <v>jjleon</v>
      </c>
    </row>
    <row r="198" spans="1:19" x14ac:dyDescent="0.25">
      <c r="A198" s="34" t="s">
        <v>17</v>
      </c>
      <c r="B198" s="34">
        <v>12329621</v>
      </c>
      <c r="C198" s="34" t="s">
        <v>9</v>
      </c>
      <c r="D198" s="34" t="s">
        <v>589</v>
      </c>
      <c r="E198" s="8">
        <v>44651</v>
      </c>
      <c r="F198" s="31">
        <v>44658</v>
      </c>
      <c r="G198" s="31">
        <v>44652</v>
      </c>
      <c r="H198" s="36">
        <v>2</v>
      </c>
      <c r="I198" s="34" t="s">
        <v>72</v>
      </c>
      <c r="J198" s="34" t="s">
        <v>73</v>
      </c>
      <c r="K198" s="36" t="s">
        <v>117</v>
      </c>
      <c r="L198" s="36" t="s">
        <v>117</v>
      </c>
      <c r="M198" s="36" t="s">
        <v>47</v>
      </c>
      <c r="N198" s="36" t="s">
        <v>117</v>
      </c>
      <c r="O198" s="34" t="s">
        <v>8</v>
      </c>
      <c r="P198" s="34">
        <v>2</v>
      </c>
      <c r="Q198" s="34" t="s">
        <v>12</v>
      </c>
      <c r="R198" s="34" t="s">
        <v>464</v>
      </c>
      <c r="S198" s="38" t="str">
        <f t="shared" si="3"/>
        <v>jjleon</v>
      </c>
    </row>
    <row r="199" spans="1:19" x14ac:dyDescent="0.25">
      <c r="A199" s="34" t="s">
        <v>75</v>
      </c>
      <c r="B199" s="34">
        <v>12329937</v>
      </c>
      <c r="C199" s="34" t="s">
        <v>9</v>
      </c>
      <c r="D199" s="34" t="s">
        <v>590</v>
      </c>
      <c r="E199" s="8">
        <v>44651</v>
      </c>
      <c r="F199" s="31">
        <v>44658</v>
      </c>
      <c r="G199" s="31">
        <v>44652</v>
      </c>
      <c r="H199" s="36">
        <v>2</v>
      </c>
      <c r="I199" s="34" t="s">
        <v>72</v>
      </c>
      <c r="J199" s="34" t="s">
        <v>73</v>
      </c>
      <c r="K199" s="36" t="s">
        <v>117</v>
      </c>
      <c r="L199" s="36" t="s">
        <v>117</v>
      </c>
      <c r="M199" s="36" t="s">
        <v>47</v>
      </c>
      <c r="N199" s="36" t="s">
        <v>117</v>
      </c>
      <c r="O199" s="34" t="s">
        <v>8</v>
      </c>
      <c r="P199" s="34">
        <v>2</v>
      </c>
      <c r="Q199" s="34" t="s">
        <v>12</v>
      </c>
      <c r="R199" s="34" t="s">
        <v>465</v>
      </c>
      <c r="S199" s="38" t="str">
        <f t="shared" si="3"/>
        <v>lsierrac</v>
      </c>
    </row>
    <row r="200" spans="1:19" x14ac:dyDescent="0.25">
      <c r="A200" s="34" t="s">
        <v>17</v>
      </c>
      <c r="B200" s="34">
        <v>12330377</v>
      </c>
      <c r="C200" s="34" t="s">
        <v>9</v>
      </c>
      <c r="D200" s="34" t="s">
        <v>591</v>
      </c>
      <c r="E200" s="8">
        <v>44651</v>
      </c>
      <c r="F200" s="31">
        <v>44658</v>
      </c>
      <c r="G200" s="31">
        <v>44652</v>
      </c>
      <c r="H200" s="36">
        <v>2</v>
      </c>
      <c r="I200" s="34" t="s">
        <v>72</v>
      </c>
      <c r="J200" s="34" t="s">
        <v>73</v>
      </c>
      <c r="K200" s="36" t="s">
        <v>117</v>
      </c>
      <c r="L200" s="36" t="s">
        <v>117</v>
      </c>
      <c r="M200" s="36" t="s">
        <v>47</v>
      </c>
      <c r="N200" s="36" t="s">
        <v>117</v>
      </c>
      <c r="O200" s="34" t="s">
        <v>8</v>
      </c>
      <c r="P200" s="34">
        <v>2</v>
      </c>
      <c r="Q200" s="34" t="s">
        <v>12</v>
      </c>
      <c r="R200" s="34" t="s">
        <v>466</v>
      </c>
      <c r="S200" s="38" t="str">
        <f t="shared" si="3"/>
        <v>jjleon</v>
      </c>
    </row>
    <row r="201" spans="1:19" x14ac:dyDescent="0.25">
      <c r="A201" s="34" t="s">
        <v>17</v>
      </c>
      <c r="B201" s="34">
        <v>12330938</v>
      </c>
      <c r="C201" s="34" t="s">
        <v>9</v>
      </c>
      <c r="D201" s="34" t="s">
        <v>592</v>
      </c>
      <c r="E201" s="8">
        <v>44651</v>
      </c>
      <c r="F201" s="31">
        <v>44658</v>
      </c>
      <c r="G201" s="31">
        <v>44652</v>
      </c>
      <c r="H201" s="36">
        <v>2</v>
      </c>
      <c r="I201" s="34" t="s">
        <v>72</v>
      </c>
      <c r="J201" s="34" t="s">
        <v>73</v>
      </c>
      <c r="K201" s="36" t="s">
        <v>117</v>
      </c>
      <c r="L201" s="36" t="s">
        <v>117</v>
      </c>
      <c r="M201" s="36" t="s">
        <v>47</v>
      </c>
      <c r="N201" s="36" t="s">
        <v>117</v>
      </c>
      <c r="O201" s="34" t="s">
        <v>8</v>
      </c>
      <c r="P201" s="34">
        <v>2</v>
      </c>
      <c r="Q201" s="34" t="s">
        <v>12</v>
      </c>
      <c r="R201" s="34" t="s">
        <v>467</v>
      </c>
      <c r="S201" s="38" t="str">
        <f t="shared" si="3"/>
        <v>jjleon</v>
      </c>
    </row>
    <row r="202" spans="1:19" x14ac:dyDescent="0.25">
      <c r="A202" s="34" t="s">
        <v>17</v>
      </c>
      <c r="B202" s="34">
        <v>12331737</v>
      </c>
      <c r="C202" s="34" t="s">
        <v>9</v>
      </c>
      <c r="D202" s="34" t="s">
        <v>593</v>
      </c>
      <c r="E202" s="8">
        <v>44651</v>
      </c>
      <c r="F202" s="31">
        <v>44658</v>
      </c>
      <c r="G202" s="31">
        <v>44652</v>
      </c>
      <c r="H202" s="36">
        <v>2</v>
      </c>
      <c r="I202" s="34" t="s">
        <v>72</v>
      </c>
      <c r="J202" s="34" t="s">
        <v>73</v>
      </c>
      <c r="K202" s="36" t="s">
        <v>117</v>
      </c>
      <c r="L202" s="36" t="s">
        <v>117</v>
      </c>
      <c r="M202" s="36" t="s">
        <v>47</v>
      </c>
      <c r="N202" s="36" t="s">
        <v>117</v>
      </c>
      <c r="O202" s="34" t="s">
        <v>8</v>
      </c>
      <c r="P202" s="34">
        <v>2</v>
      </c>
      <c r="Q202" s="34" t="s">
        <v>12</v>
      </c>
      <c r="R202" s="34" t="s">
        <v>468</v>
      </c>
      <c r="S202" s="38" t="str">
        <f t="shared" si="3"/>
        <v>jjleon</v>
      </c>
    </row>
    <row r="203" spans="1:19" x14ac:dyDescent="0.25">
      <c r="A203" s="34" t="s">
        <v>17</v>
      </c>
      <c r="B203" s="34">
        <v>12332664</v>
      </c>
      <c r="C203" s="34" t="s">
        <v>9</v>
      </c>
      <c r="D203" s="34" t="s">
        <v>594</v>
      </c>
      <c r="E203" s="8">
        <v>44651</v>
      </c>
      <c r="F203" s="31">
        <v>44658</v>
      </c>
      <c r="G203" s="31">
        <v>44652</v>
      </c>
      <c r="H203" s="36">
        <v>2</v>
      </c>
      <c r="I203" s="34" t="s">
        <v>72</v>
      </c>
      <c r="J203" s="34" t="s">
        <v>73</v>
      </c>
      <c r="K203" s="36" t="s">
        <v>117</v>
      </c>
      <c r="L203" s="36" t="s">
        <v>117</v>
      </c>
      <c r="M203" s="36" t="s">
        <v>47</v>
      </c>
      <c r="N203" s="36" t="s">
        <v>117</v>
      </c>
      <c r="O203" s="34" t="s">
        <v>8</v>
      </c>
      <c r="P203" s="34">
        <v>2</v>
      </c>
      <c r="Q203" s="34" t="s">
        <v>12</v>
      </c>
      <c r="R203" s="34" t="s">
        <v>470</v>
      </c>
      <c r="S203" s="38" t="str">
        <f t="shared" si="3"/>
        <v>jjleon</v>
      </c>
    </row>
    <row r="204" spans="1:19" x14ac:dyDescent="0.25">
      <c r="A204" s="34" t="s">
        <v>17</v>
      </c>
      <c r="B204" s="34">
        <v>12334118</v>
      </c>
      <c r="C204" s="34" t="s">
        <v>9</v>
      </c>
      <c r="D204" s="34" t="s">
        <v>595</v>
      </c>
      <c r="E204" s="8">
        <v>44651</v>
      </c>
      <c r="F204" s="31">
        <v>44658</v>
      </c>
      <c r="G204" s="31">
        <v>44652</v>
      </c>
      <c r="H204" s="36">
        <v>2</v>
      </c>
      <c r="I204" s="34" t="s">
        <v>72</v>
      </c>
      <c r="J204" s="34" t="s">
        <v>73</v>
      </c>
      <c r="K204" s="36" t="s">
        <v>117</v>
      </c>
      <c r="L204" s="36" t="s">
        <v>117</v>
      </c>
      <c r="M204" s="36" t="s">
        <v>47</v>
      </c>
      <c r="N204" s="36" t="s">
        <v>117</v>
      </c>
      <c r="O204" s="34" t="s">
        <v>8</v>
      </c>
      <c r="P204" s="34">
        <v>2</v>
      </c>
      <c r="Q204" s="34" t="s">
        <v>12</v>
      </c>
      <c r="R204" s="34" t="s">
        <v>471</v>
      </c>
      <c r="S204" s="38" t="str">
        <f t="shared" si="3"/>
        <v>jjleon</v>
      </c>
    </row>
    <row r="205" spans="1:19" x14ac:dyDescent="0.25">
      <c r="A205" s="34" t="s">
        <v>75</v>
      </c>
      <c r="B205" s="34">
        <v>12334238</v>
      </c>
      <c r="C205" s="34" t="s">
        <v>9</v>
      </c>
      <c r="D205" s="34" t="s">
        <v>596</v>
      </c>
      <c r="E205" s="8">
        <v>44651</v>
      </c>
      <c r="F205" s="31">
        <v>44658</v>
      </c>
      <c r="G205" s="31">
        <v>44652</v>
      </c>
      <c r="H205" s="36">
        <v>2</v>
      </c>
      <c r="I205" s="34" t="s">
        <v>72</v>
      </c>
      <c r="J205" s="34" t="s">
        <v>73</v>
      </c>
      <c r="K205" s="36" t="s">
        <v>117</v>
      </c>
      <c r="L205" s="36" t="s">
        <v>117</v>
      </c>
      <c r="M205" s="36" t="s">
        <v>47</v>
      </c>
      <c r="N205" s="36" t="s">
        <v>117</v>
      </c>
      <c r="O205" s="34" t="s">
        <v>8</v>
      </c>
      <c r="P205" s="34">
        <v>2</v>
      </c>
      <c r="Q205" s="34" t="s">
        <v>12</v>
      </c>
      <c r="R205" s="34" t="s">
        <v>472</v>
      </c>
      <c r="S205" s="38" t="str">
        <f t="shared" si="3"/>
        <v>lsierrac</v>
      </c>
    </row>
    <row r="206" spans="1:19" x14ac:dyDescent="0.25">
      <c r="A206" s="34" t="s">
        <v>17</v>
      </c>
      <c r="B206" s="34">
        <v>12330112</v>
      </c>
      <c r="C206" s="34" t="s">
        <v>9</v>
      </c>
      <c r="D206" s="34" t="s">
        <v>597</v>
      </c>
      <c r="E206" s="8">
        <v>44651</v>
      </c>
      <c r="F206" s="31">
        <v>44658</v>
      </c>
      <c r="G206" s="31">
        <v>44652</v>
      </c>
      <c r="H206" s="36">
        <v>2</v>
      </c>
      <c r="I206" s="34" t="s">
        <v>72</v>
      </c>
      <c r="J206" s="34" t="s">
        <v>73</v>
      </c>
      <c r="K206" s="36" t="s">
        <v>117</v>
      </c>
      <c r="L206" s="36" t="s">
        <v>117</v>
      </c>
      <c r="M206" s="36" t="s">
        <v>49</v>
      </c>
      <c r="N206" s="36" t="s">
        <v>117</v>
      </c>
      <c r="O206" s="34" t="s">
        <v>8</v>
      </c>
      <c r="P206" s="34">
        <v>7</v>
      </c>
      <c r="Q206" s="34" t="s">
        <v>20</v>
      </c>
      <c r="R206" s="34" t="s">
        <v>500</v>
      </c>
      <c r="S206" s="38" t="str">
        <f t="shared" si="3"/>
        <v>jjleon</v>
      </c>
    </row>
    <row r="207" spans="1:19" x14ac:dyDescent="0.25">
      <c r="A207" s="34" t="s">
        <v>15</v>
      </c>
      <c r="B207" s="34">
        <v>12332078</v>
      </c>
      <c r="C207" s="34" t="s">
        <v>9</v>
      </c>
      <c r="D207" s="34" t="s">
        <v>598</v>
      </c>
      <c r="E207" s="8">
        <v>44651</v>
      </c>
      <c r="F207" s="31">
        <v>44658</v>
      </c>
      <c r="G207" s="31">
        <v>44652</v>
      </c>
      <c r="H207" s="36">
        <v>2</v>
      </c>
      <c r="I207" s="34" t="s">
        <v>72</v>
      </c>
      <c r="J207" s="34" t="s">
        <v>73</v>
      </c>
      <c r="K207" s="36" t="s">
        <v>117</v>
      </c>
      <c r="L207" s="36" t="s">
        <v>117</v>
      </c>
      <c r="M207" s="36" t="s">
        <v>49</v>
      </c>
      <c r="N207" s="36" t="s">
        <v>117</v>
      </c>
      <c r="O207" s="34" t="s">
        <v>8</v>
      </c>
      <c r="P207" s="34">
        <v>7</v>
      </c>
      <c r="Q207" s="34" t="s">
        <v>20</v>
      </c>
      <c r="R207" s="34" t="s">
        <v>507</v>
      </c>
      <c r="S207" s="38" t="str">
        <f t="shared" si="3"/>
        <v>bquirogan</v>
      </c>
    </row>
    <row r="208" spans="1:19" x14ac:dyDescent="0.25">
      <c r="A208" s="34" t="s">
        <v>75</v>
      </c>
      <c r="B208" s="34">
        <v>12327761</v>
      </c>
      <c r="C208" s="34" t="s">
        <v>7</v>
      </c>
      <c r="D208" s="34" t="s">
        <v>599</v>
      </c>
      <c r="E208" s="8">
        <v>44651</v>
      </c>
      <c r="F208" s="31">
        <v>44658</v>
      </c>
      <c r="G208" s="31">
        <v>44652</v>
      </c>
      <c r="H208" s="36">
        <v>2</v>
      </c>
      <c r="I208" s="34" t="s">
        <v>72</v>
      </c>
      <c r="J208" s="34" t="s">
        <v>73</v>
      </c>
      <c r="K208" s="36" t="s">
        <v>117</v>
      </c>
      <c r="L208" s="36" t="s">
        <v>117</v>
      </c>
      <c r="M208" s="36" t="s">
        <v>47</v>
      </c>
      <c r="N208" s="36" t="s">
        <v>117</v>
      </c>
      <c r="O208" s="34" t="s">
        <v>8</v>
      </c>
      <c r="P208" s="34">
        <v>2</v>
      </c>
      <c r="Q208" s="34" t="s">
        <v>12</v>
      </c>
      <c r="R208" s="34" t="s">
        <v>509</v>
      </c>
      <c r="S208" s="38" t="str">
        <f t="shared" si="3"/>
        <v>lsierrac</v>
      </c>
    </row>
    <row r="209" spans="1:19" x14ac:dyDescent="0.25">
      <c r="A209" s="34" t="s">
        <v>15</v>
      </c>
      <c r="B209" s="34">
        <v>12328504</v>
      </c>
      <c r="C209" s="34" t="s">
        <v>9</v>
      </c>
      <c r="D209" s="34" t="s">
        <v>600</v>
      </c>
      <c r="E209" s="8">
        <v>44651</v>
      </c>
      <c r="F209" s="31">
        <v>44658</v>
      </c>
      <c r="G209" s="31">
        <v>44652</v>
      </c>
      <c r="H209" s="36">
        <v>2</v>
      </c>
      <c r="I209" s="34" t="s">
        <v>72</v>
      </c>
      <c r="J209" s="34" t="s">
        <v>73</v>
      </c>
      <c r="K209" s="36" t="s">
        <v>117</v>
      </c>
      <c r="L209" s="36" t="s">
        <v>117</v>
      </c>
      <c r="M209" s="36" t="s">
        <v>49</v>
      </c>
      <c r="N209" s="36" t="s">
        <v>117</v>
      </c>
      <c r="O209" s="34" t="s">
        <v>8</v>
      </c>
      <c r="P209" s="34">
        <v>7</v>
      </c>
      <c r="Q209" s="34" t="s">
        <v>20</v>
      </c>
      <c r="R209" s="34" t="s">
        <v>514</v>
      </c>
      <c r="S209" s="38" t="str">
        <f t="shared" si="3"/>
        <v>bquirogan</v>
      </c>
    </row>
    <row r="210" spans="1:19" x14ac:dyDescent="0.25">
      <c r="A210" s="34" t="s">
        <v>23</v>
      </c>
      <c r="B210" s="34">
        <v>12329211</v>
      </c>
      <c r="C210" s="34" t="s">
        <v>9</v>
      </c>
      <c r="D210" s="34" t="s">
        <v>601</v>
      </c>
      <c r="E210" s="8">
        <v>44651</v>
      </c>
      <c r="F210" s="31">
        <v>44658</v>
      </c>
      <c r="G210" s="31">
        <v>44652</v>
      </c>
      <c r="H210" s="36">
        <v>2</v>
      </c>
      <c r="I210" s="34" t="s">
        <v>72</v>
      </c>
      <c r="J210" s="34" t="s">
        <v>73</v>
      </c>
      <c r="K210" s="36" t="s">
        <v>117</v>
      </c>
      <c r="L210" s="36" t="s">
        <v>117</v>
      </c>
      <c r="M210" s="36" t="s">
        <v>50</v>
      </c>
      <c r="N210" s="36" t="s">
        <v>117</v>
      </c>
      <c r="O210" s="34" t="s">
        <v>8</v>
      </c>
      <c r="P210" s="34">
        <v>6</v>
      </c>
      <c r="Q210" s="34" t="s">
        <v>19</v>
      </c>
      <c r="R210" s="34" t="s">
        <v>516</v>
      </c>
      <c r="S210" s="38" t="str">
        <f t="shared" si="3"/>
        <v>pgcastillo</v>
      </c>
    </row>
    <row r="211" spans="1:19" x14ac:dyDescent="0.25">
      <c r="A211" s="34" t="s">
        <v>15</v>
      </c>
      <c r="B211" s="34">
        <v>12330415</v>
      </c>
      <c r="C211" s="34" t="s">
        <v>9</v>
      </c>
      <c r="D211" s="34" t="s">
        <v>602</v>
      </c>
      <c r="E211" s="8">
        <v>44651</v>
      </c>
      <c r="F211" s="31">
        <v>44658</v>
      </c>
      <c r="G211" s="31">
        <v>44652</v>
      </c>
      <c r="H211" s="36">
        <v>2</v>
      </c>
      <c r="I211" s="34" t="s">
        <v>72</v>
      </c>
      <c r="J211" s="34" t="s">
        <v>73</v>
      </c>
      <c r="K211" s="36" t="s">
        <v>117</v>
      </c>
      <c r="L211" s="36" t="s">
        <v>117</v>
      </c>
      <c r="M211" s="36" t="s">
        <v>49</v>
      </c>
      <c r="N211" s="36" t="s">
        <v>117</v>
      </c>
      <c r="O211" s="34" t="s">
        <v>8</v>
      </c>
      <c r="P211" s="34">
        <v>7</v>
      </c>
      <c r="Q211" s="34" t="s">
        <v>20</v>
      </c>
      <c r="R211" s="34" t="s">
        <v>517</v>
      </c>
      <c r="S211" s="38" t="str">
        <f t="shared" si="3"/>
        <v>bquirogan</v>
      </c>
    </row>
    <row r="212" spans="1:19" x14ac:dyDescent="0.25">
      <c r="A212" s="34" t="s">
        <v>15</v>
      </c>
      <c r="B212" s="34">
        <v>12335685</v>
      </c>
      <c r="C212" s="34" t="s">
        <v>9</v>
      </c>
      <c r="D212" s="34" t="s">
        <v>603</v>
      </c>
      <c r="E212" s="8">
        <v>44651</v>
      </c>
      <c r="F212" s="31">
        <v>44658</v>
      </c>
      <c r="G212" s="31">
        <v>44652</v>
      </c>
      <c r="H212" s="36">
        <v>2</v>
      </c>
      <c r="I212" s="34" t="s">
        <v>72</v>
      </c>
      <c r="J212" s="34" t="s">
        <v>73</v>
      </c>
      <c r="K212" s="36" t="s">
        <v>117</v>
      </c>
      <c r="L212" s="36" t="s">
        <v>117</v>
      </c>
      <c r="M212" s="36" t="s">
        <v>47</v>
      </c>
      <c r="N212" s="36" t="s">
        <v>117</v>
      </c>
      <c r="O212" s="34" t="s">
        <v>8</v>
      </c>
      <c r="P212" s="34">
        <v>2</v>
      </c>
      <c r="Q212" s="34" t="s">
        <v>12</v>
      </c>
      <c r="R212" s="34" t="s">
        <v>519</v>
      </c>
      <c r="S212" s="38" t="str">
        <f t="shared" si="3"/>
        <v>bquirogan</v>
      </c>
    </row>
    <row r="213" spans="1:19" x14ac:dyDescent="0.25">
      <c r="A213" s="34" t="s">
        <v>15</v>
      </c>
      <c r="B213" s="34">
        <v>12330426</v>
      </c>
      <c r="C213" s="34" t="s">
        <v>9</v>
      </c>
      <c r="D213" s="34" t="s">
        <v>604</v>
      </c>
      <c r="E213" s="8">
        <v>44651</v>
      </c>
      <c r="F213" s="31">
        <v>44658</v>
      </c>
      <c r="G213" s="31">
        <v>44652</v>
      </c>
      <c r="H213" s="36">
        <v>2</v>
      </c>
      <c r="I213" s="34" t="s">
        <v>72</v>
      </c>
      <c r="J213" s="34" t="s">
        <v>73</v>
      </c>
      <c r="K213" s="36" t="s">
        <v>117</v>
      </c>
      <c r="L213" s="36" t="s">
        <v>117</v>
      </c>
      <c r="M213" s="36" t="s">
        <v>49</v>
      </c>
      <c r="N213" s="36" t="s">
        <v>117</v>
      </c>
      <c r="O213" s="34" t="s">
        <v>8</v>
      </c>
      <c r="P213" s="34">
        <v>7</v>
      </c>
      <c r="Q213" s="34" t="s">
        <v>20</v>
      </c>
      <c r="R213" s="34" t="s">
        <v>520</v>
      </c>
      <c r="S213" s="38" t="str">
        <f t="shared" si="3"/>
        <v>bquirogan</v>
      </c>
    </row>
    <row r="214" spans="1:19" x14ac:dyDescent="0.25">
      <c r="A214" s="34" t="s">
        <v>17</v>
      </c>
      <c r="B214" s="34">
        <v>12335718</v>
      </c>
      <c r="C214" s="34" t="s">
        <v>9</v>
      </c>
      <c r="D214" s="34" t="s">
        <v>605</v>
      </c>
      <c r="E214" s="8">
        <v>44651</v>
      </c>
      <c r="F214" s="31">
        <v>44658</v>
      </c>
      <c r="G214" s="31">
        <v>44652</v>
      </c>
      <c r="H214" s="36">
        <v>2</v>
      </c>
      <c r="I214" s="34" t="s">
        <v>72</v>
      </c>
      <c r="J214" s="34" t="s">
        <v>73</v>
      </c>
      <c r="K214" s="36" t="s">
        <v>117</v>
      </c>
      <c r="L214" s="36" t="s">
        <v>117</v>
      </c>
      <c r="M214" s="36" t="s">
        <v>47</v>
      </c>
      <c r="N214" s="36" t="s">
        <v>117</v>
      </c>
      <c r="O214" s="34" t="s">
        <v>8</v>
      </c>
      <c r="P214" s="34">
        <v>2</v>
      </c>
      <c r="Q214" s="34" t="s">
        <v>12</v>
      </c>
      <c r="R214" s="34" t="s">
        <v>522</v>
      </c>
      <c r="S214" s="38" t="str">
        <f t="shared" si="3"/>
        <v>jjleon</v>
      </c>
    </row>
    <row r="215" spans="1:19" x14ac:dyDescent="0.25">
      <c r="A215" s="34" t="s">
        <v>17</v>
      </c>
      <c r="B215" s="34">
        <v>12331087</v>
      </c>
      <c r="C215" s="34" t="s">
        <v>9</v>
      </c>
      <c r="D215" s="34" t="s">
        <v>606</v>
      </c>
      <c r="E215" s="8">
        <v>44651</v>
      </c>
      <c r="F215" s="31">
        <v>44658</v>
      </c>
      <c r="G215" s="31">
        <v>44652</v>
      </c>
      <c r="H215" s="36">
        <v>2</v>
      </c>
      <c r="I215" s="34" t="s">
        <v>72</v>
      </c>
      <c r="J215" s="34" t="s">
        <v>73</v>
      </c>
      <c r="K215" s="36" t="s">
        <v>117</v>
      </c>
      <c r="L215" s="36" t="s">
        <v>117</v>
      </c>
      <c r="M215" s="36" t="s">
        <v>49</v>
      </c>
      <c r="N215" s="36" t="s">
        <v>117</v>
      </c>
      <c r="O215" s="34" t="s">
        <v>8</v>
      </c>
      <c r="P215" s="34">
        <v>7</v>
      </c>
      <c r="Q215" s="34" t="s">
        <v>20</v>
      </c>
      <c r="R215" s="34" t="s">
        <v>525</v>
      </c>
      <c r="S215" s="38" t="str">
        <f t="shared" si="3"/>
        <v>jjleon</v>
      </c>
    </row>
    <row r="216" spans="1:19" x14ac:dyDescent="0.25">
      <c r="A216" s="34" t="s">
        <v>75</v>
      </c>
      <c r="B216" s="34">
        <v>12332740</v>
      </c>
      <c r="C216" s="34" t="s">
        <v>7</v>
      </c>
      <c r="D216" s="34" t="s">
        <v>607</v>
      </c>
      <c r="E216" s="8">
        <v>44651</v>
      </c>
      <c r="F216" s="31">
        <v>44658</v>
      </c>
      <c r="G216" s="31">
        <v>44652</v>
      </c>
      <c r="H216" s="36">
        <v>2</v>
      </c>
      <c r="I216" s="34" t="s">
        <v>72</v>
      </c>
      <c r="J216" s="34" t="s">
        <v>73</v>
      </c>
      <c r="K216" s="36" t="s">
        <v>117</v>
      </c>
      <c r="L216" s="36" t="s">
        <v>117</v>
      </c>
      <c r="M216" s="36" t="s">
        <v>47</v>
      </c>
      <c r="N216" s="36" t="s">
        <v>117</v>
      </c>
      <c r="O216" s="34" t="s">
        <v>8</v>
      </c>
      <c r="P216" s="34">
        <v>2</v>
      </c>
      <c r="Q216" s="34" t="s">
        <v>12</v>
      </c>
      <c r="R216" s="34" t="s">
        <v>526</v>
      </c>
      <c r="S216" s="38" t="str">
        <f t="shared" si="3"/>
        <v>lsierrac</v>
      </c>
    </row>
    <row r="217" spans="1:19" x14ac:dyDescent="0.25">
      <c r="A217" s="34" t="s">
        <v>75</v>
      </c>
      <c r="B217" s="34">
        <v>12335951</v>
      </c>
      <c r="C217" s="34" t="s">
        <v>7</v>
      </c>
      <c r="D217" s="34" t="s">
        <v>608</v>
      </c>
      <c r="E217" s="8">
        <v>44651</v>
      </c>
      <c r="F217" s="31">
        <v>44658</v>
      </c>
      <c r="G217" s="31">
        <v>44652</v>
      </c>
      <c r="H217" s="36">
        <v>2</v>
      </c>
      <c r="I217" s="34" t="s">
        <v>72</v>
      </c>
      <c r="J217" s="34" t="s">
        <v>73</v>
      </c>
      <c r="K217" s="36" t="s">
        <v>117</v>
      </c>
      <c r="L217" s="36" t="s">
        <v>117</v>
      </c>
      <c r="M217" s="36" t="s">
        <v>47</v>
      </c>
      <c r="N217" s="36" t="s">
        <v>117</v>
      </c>
      <c r="O217" s="34" t="s">
        <v>8</v>
      </c>
      <c r="P217" s="34">
        <v>2</v>
      </c>
      <c r="Q217" s="34" t="s">
        <v>12</v>
      </c>
      <c r="R217" s="34" t="s">
        <v>528</v>
      </c>
      <c r="S217" s="38" t="str">
        <f t="shared" si="3"/>
        <v>lsierrac</v>
      </c>
    </row>
    <row r="218" spans="1:19" x14ac:dyDescent="0.25">
      <c r="A218" s="34" t="s">
        <v>76</v>
      </c>
      <c r="B218" s="34">
        <v>12337014</v>
      </c>
      <c r="C218" s="34" t="s">
        <v>9</v>
      </c>
      <c r="D218" s="34" t="s">
        <v>609</v>
      </c>
      <c r="E218" s="8">
        <v>44651</v>
      </c>
      <c r="F218" s="31">
        <v>44658</v>
      </c>
      <c r="G218" s="31">
        <v>44652</v>
      </c>
      <c r="H218" s="36">
        <v>2</v>
      </c>
      <c r="I218" s="34" t="s">
        <v>72</v>
      </c>
      <c r="J218" s="34" t="s">
        <v>73</v>
      </c>
      <c r="K218" s="36" t="s">
        <v>117</v>
      </c>
      <c r="L218" s="36" t="s">
        <v>117</v>
      </c>
      <c r="M218" s="36" t="s">
        <v>47</v>
      </c>
      <c r="N218" s="36" t="s">
        <v>117</v>
      </c>
      <c r="O218" s="34" t="s">
        <v>8</v>
      </c>
      <c r="P218" s="34">
        <v>2</v>
      </c>
      <c r="Q218" s="34" t="s">
        <v>12</v>
      </c>
      <c r="R218" s="34" t="s">
        <v>530</v>
      </c>
      <c r="S218" s="38" t="str">
        <f t="shared" si="3"/>
        <v>oreyesp</v>
      </c>
    </row>
    <row r="219" spans="1:19" x14ac:dyDescent="0.25">
      <c r="A219" s="34" t="s">
        <v>15</v>
      </c>
      <c r="B219" s="34">
        <v>12337045</v>
      </c>
      <c r="C219" s="34" t="s">
        <v>9</v>
      </c>
      <c r="D219" s="34" t="s">
        <v>610</v>
      </c>
      <c r="E219" s="8">
        <v>44651</v>
      </c>
      <c r="F219" s="31">
        <v>44658</v>
      </c>
      <c r="G219" s="31">
        <v>44652</v>
      </c>
      <c r="H219" s="36">
        <v>2</v>
      </c>
      <c r="I219" s="34" t="s">
        <v>72</v>
      </c>
      <c r="J219" s="34" t="s">
        <v>73</v>
      </c>
      <c r="K219" s="36" t="s">
        <v>117</v>
      </c>
      <c r="L219" s="36" t="s">
        <v>117</v>
      </c>
      <c r="M219" s="36" t="s">
        <v>47</v>
      </c>
      <c r="N219" s="36" t="s">
        <v>117</v>
      </c>
      <c r="O219" s="34" t="s">
        <v>8</v>
      </c>
      <c r="P219" s="34">
        <v>2</v>
      </c>
      <c r="Q219" s="34" t="s">
        <v>12</v>
      </c>
      <c r="R219" s="34" t="s">
        <v>532</v>
      </c>
      <c r="S219" s="38" t="str">
        <f t="shared" si="3"/>
        <v>bquirogan</v>
      </c>
    </row>
    <row r="220" spans="1:19" x14ac:dyDescent="0.25">
      <c r="A220" s="34" t="s">
        <v>17</v>
      </c>
      <c r="B220" s="34">
        <v>12337132</v>
      </c>
      <c r="C220" s="34" t="s">
        <v>9</v>
      </c>
      <c r="D220" s="34" t="s">
        <v>611</v>
      </c>
      <c r="E220" s="8">
        <v>44651</v>
      </c>
      <c r="F220" s="31">
        <v>44658</v>
      </c>
      <c r="G220" s="31">
        <v>44652</v>
      </c>
      <c r="H220" s="36">
        <v>2</v>
      </c>
      <c r="I220" s="34" t="s">
        <v>72</v>
      </c>
      <c r="J220" s="34" t="s">
        <v>73</v>
      </c>
      <c r="K220" s="36" t="s">
        <v>117</v>
      </c>
      <c r="L220" s="36" t="s">
        <v>117</v>
      </c>
      <c r="M220" s="36" t="s">
        <v>47</v>
      </c>
      <c r="N220" s="36" t="s">
        <v>117</v>
      </c>
      <c r="O220" s="34" t="s">
        <v>8</v>
      </c>
      <c r="P220" s="34">
        <v>2</v>
      </c>
      <c r="Q220" s="34" t="s">
        <v>12</v>
      </c>
      <c r="R220" s="34" t="s">
        <v>533</v>
      </c>
      <c r="S220" s="38" t="str">
        <f t="shared" si="3"/>
        <v>jjleon</v>
      </c>
    </row>
    <row r="221" spans="1:19" x14ac:dyDescent="0.25">
      <c r="A221" s="34" t="s">
        <v>15</v>
      </c>
      <c r="B221" s="34">
        <v>12331303</v>
      </c>
      <c r="C221" s="34" t="s">
        <v>9</v>
      </c>
      <c r="D221" s="34" t="s">
        <v>612</v>
      </c>
      <c r="E221" s="8">
        <v>44651</v>
      </c>
      <c r="F221" s="31">
        <v>44658</v>
      </c>
      <c r="G221" s="31">
        <v>44652</v>
      </c>
      <c r="H221" s="36">
        <v>2</v>
      </c>
      <c r="I221" s="34" t="s">
        <v>72</v>
      </c>
      <c r="J221" s="34" t="s">
        <v>73</v>
      </c>
      <c r="K221" s="36" t="s">
        <v>117</v>
      </c>
      <c r="L221" s="36" t="s">
        <v>117</v>
      </c>
      <c r="M221" s="36" t="s">
        <v>49</v>
      </c>
      <c r="N221" s="36" t="s">
        <v>117</v>
      </c>
      <c r="O221" s="34" t="s">
        <v>8</v>
      </c>
      <c r="P221" s="34">
        <v>7</v>
      </c>
      <c r="Q221" s="34" t="s">
        <v>20</v>
      </c>
      <c r="R221" s="34" t="s">
        <v>534</v>
      </c>
      <c r="S221" s="38" t="str">
        <f t="shared" si="3"/>
        <v>bquirogan</v>
      </c>
    </row>
    <row r="222" spans="1:19" x14ac:dyDescent="0.25">
      <c r="A222" s="34" t="s">
        <v>76</v>
      </c>
      <c r="B222" s="34">
        <v>12327992</v>
      </c>
      <c r="C222" s="34" t="s">
        <v>7</v>
      </c>
      <c r="D222" s="34" t="s">
        <v>613</v>
      </c>
      <c r="E222" s="8">
        <v>44651</v>
      </c>
      <c r="F222" s="31">
        <v>44658</v>
      </c>
      <c r="G222" s="31">
        <v>44652</v>
      </c>
      <c r="H222" s="36">
        <v>2</v>
      </c>
      <c r="I222" s="34" t="s">
        <v>72</v>
      </c>
      <c r="J222" s="34" t="s">
        <v>73</v>
      </c>
      <c r="K222" s="36" t="s">
        <v>117</v>
      </c>
      <c r="L222" s="36" t="s">
        <v>117</v>
      </c>
      <c r="M222" s="36" t="s">
        <v>47</v>
      </c>
      <c r="N222" s="36" t="s">
        <v>117</v>
      </c>
      <c r="O222" s="34" t="s">
        <v>8</v>
      </c>
      <c r="P222" s="34">
        <v>2</v>
      </c>
      <c r="Q222" s="34" t="s">
        <v>12</v>
      </c>
      <c r="R222" s="34" t="s">
        <v>535</v>
      </c>
      <c r="S222" s="38" t="str">
        <f t="shared" si="3"/>
        <v>oreyesp</v>
      </c>
    </row>
    <row r="223" spans="1:19" x14ac:dyDescent="0.25">
      <c r="A223" s="34" t="s">
        <v>75</v>
      </c>
      <c r="B223" s="34">
        <v>12337611</v>
      </c>
      <c r="C223" s="34" t="s">
        <v>9</v>
      </c>
      <c r="D223" s="34" t="s">
        <v>614</v>
      </c>
      <c r="E223" s="8">
        <v>44651</v>
      </c>
      <c r="F223" s="31">
        <v>44658</v>
      </c>
      <c r="G223" s="31">
        <v>44652</v>
      </c>
      <c r="H223" s="36">
        <v>2</v>
      </c>
      <c r="I223" s="34" t="s">
        <v>72</v>
      </c>
      <c r="J223" s="34" t="s">
        <v>73</v>
      </c>
      <c r="K223" s="36" t="s">
        <v>117</v>
      </c>
      <c r="L223" s="36" t="s">
        <v>117</v>
      </c>
      <c r="M223" s="36" t="s">
        <v>47</v>
      </c>
      <c r="N223" s="36" t="s">
        <v>117</v>
      </c>
      <c r="O223" s="34" t="s">
        <v>8</v>
      </c>
      <c r="P223" s="34">
        <v>2</v>
      </c>
      <c r="Q223" s="34" t="s">
        <v>12</v>
      </c>
      <c r="R223" s="34" t="s">
        <v>537</v>
      </c>
      <c r="S223" s="38" t="str">
        <f t="shared" si="3"/>
        <v>lsierrac</v>
      </c>
    </row>
    <row r="224" spans="1:19" x14ac:dyDescent="0.25">
      <c r="A224" s="34" t="s">
        <v>76</v>
      </c>
      <c r="B224" s="34">
        <v>12337640</v>
      </c>
      <c r="C224" s="34" t="s">
        <v>9</v>
      </c>
      <c r="D224" s="34" t="s">
        <v>615</v>
      </c>
      <c r="E224" s="8">
        <v>44651</v>
      </c>
      <c r="F224" s="31">
        <v>44658</v>
      </c>
      <c r="G224" s="31">
        <v>44652</v>
      </c>
      <c r="H224" s="36">
        <v>2</v>
      </c>
      <c r="I224" s="34" t="s">
        <v>72</v>
      </c>
      <c r="J224" s="34" t="s">
        <v>73</v>
      </c>
      <c r="K224" s="36" t="s">
        <v>117</v>
      </c>
      <c r="L224" s="36" t="s">
        <v>117</v>
      </c>
      <c r="M224" s="36" t="s">
        <v>47</v>
      </c>
      <c r="N224" s="36" t="s">
        <v>117</v>
      </c>
      <c r="O224" s="34" t="s">
        <v>8</v>
      </c>
      <c r="P224" s="34">
        <v>2</v>
      </c>
      <c r="Q224" s="34" t="s">
        <v>12</v>
      </c>
      <c r="R224" s="34" t="s">
        <v>538</v>
      </c>
      <c r="S224" s="38" t="str">
        <f t="shared" si="3"/>
        <v>oreyesp</v>
      </c>
    </row>
    <row r="225" spans="1:19" x14ac:dyDescent="0.25">
      <c r="A225" s="34" t="s">
        <v>15</v>
      </c>
      <c r="B225" s="34">
        <v>12337833</v>
      </c>
      <c r="C225" s="34" t="s">
        <v>9</v>
      </c>
      <c r="D225" s="34" t="s">
        <v>616</v>
      </c>
      <c r="E225" s="8">
        <v>44651</v>
      </c>
      <c r="F225" s="31">
        <v>44658</v>
      </c>
      <c r="G225" s="31">
        <v>44652</v>
      </c>
      <c r="H225" s="36">
        <v>2</v>
      </c>
      <c r="I225" s="34" t="s">
        <v>72</v>
      </c>
      <c r="J225" s="34" t="s">
        <v>73</v>
      </c>
      <c r="K225" s="36" t="s">
        <v>117</v>
      </c>
      <c r="L225" s="36" t="s">
        <v>117</v>
      </c>
      <c r="M225" s="36" t="s">
        <v>47</v>
      </c>
      <c r="N225" s="36" t="s">
        <v>117</v>
      </c>
      <c r="O225" s="34" t="s">
        <v>8</v>
      </c>
      <c r="P225" s="34">
        <v>2</v>
      </c>
      <c r="Q225" s="34" t="s">
        <v>12</v>
      </c>
      <c r="R225" s="34" t="s">
        <v>539</v>
      </c>
      <c r="S225" s="38" t="str">
        <f t="shared" si="3"/>
        <v>bquirogan</v>
      </c>
    </row>
    <row r="226" spans="1:19" x14ac:dyDescent="0.25">
      <c r="A226" s="34" t="s">
        <v>17</v>
      </c>
      <c r="B226" s="34">
        <v>12338171</v>
      </c>
      <c r="C226" s="34" t="s">
        <v>9</v>
      </c>
      <c r="D226" s="34" t="s">
        <v>617</v>
      </c>
      <c r="E226" s="8">
        <v>44651</v>
      </c>
      <c r="F226" s="31">
        <v>44658</v>
      </c>
      <c r="G226" s="31">
        <v>44652</v>
      </c>
      <c r="H226" s="36">
        <v>2</v>
      </c>
      <c r="I226" s="34" t="s">
        <v>72</v>
      </c>
      <c r="J226" s="34" t="s">
        <v>73</v>
      </c>
      <c r="K226" s="36" t="s">
        <v>117</v>
      </c>
      <c r="L226" s="36" t="s">
        <v>117</v>
      </c>
      <c r="M226" s="36" t="s">
        <v>47</v>
      </c>
      <c r="N226" s="36" t="s">
        <v>117</v>
      </c>
      <c r="O226" s="34" t="s">
        <v>8</v>
      </c>
      <c r="P226" s="34">
        <v>2</v>
      </c>
      <c r="Q226" s="34" t="s">
        <v>12</v>
      </c>
      <c r="R226" s="34" t="s">
        <v>544</v>
      </c>
      <c r="S226" s="38" t="str">
        <f t="shared" si="3"/>
        <v>jjleon</v>
      </c>
    </row>
    <row r="227" spans="1:19" x14ac:dyDescent="0.25">
      <c r="A227" s="34" t="s">
        <v>75</v>
      </c>
      <c r="B227" s="34">
        <v>12338655</v>
      </c>
      <c r="C227" s="34" t="s">
        <v>9</v>
      </c>
      <c r="D227" s="34" t="s">
        <v>618</v>
      </c>
      <c r="E227" s="8">
        <v>44651</v>
      </c>
      <c r="F227" s="31">
        <v>44658</v>
      </c>
      <c r="G227" s="31">
        <v>44652</v>
      </c>
      <c r="H227" s="36">
        <v>2</v>
      </c>
      <c r="I227" s="34" t="s">
        <v>72</v>
      </c>
      <c r="J227" s="34" t="s">
        <v>73</v>
      </c>
      <c r="K227" s="36" t="s">
        <v>117</v>
      </c>
      <c r="L227" s="36" t="s">
        <v>117</v>
      </c>
      <c r="M227" s="36" t="s">
        <v>47</v>
      </c>
      <c r="N227" s="36" t="s">
        <v>117</v>
      </c>
      <c r="O227" s="34" t="s">
        <v>8</v>
      </c>
      <c r="P227" s="34">
        <v>2</v>
      </c>
      <c r="Q227" s="34" t="s">
        <v>12</v>
      </c>
      <c r="R227" s="34" t="s">
        <v>545</v>
      </c>
      <c r="S227" s="38" t="str">
        <f t="shared" si="3"/>
        <v>lsierrac</v>
      </c>
    </row>
    <row r="228" spans="1:19" x14ac:dyDescent="0.25">
      <c r="A228" s="34" t="s">
        <v>15</v>
      </c>
      <c r="B228" s="34">
        <v>12326896</v>
      </c>
      <c r="C228" s="34" t="s">
        <v>9</v>
      </c>
      <c r="D228" s="34" t="s">
        <v>619</v>
      </c>
      <c r="E228" s="8">
        <v>44651</v>
      </c>
      <c r="F228" s="31">
        <v>44658</v>
      </c>
      <c r="G228" s="31">
        <v>44652</v>
      </c>
      <c r="H228" s="36">
        <v>2</v>
      </c>
      <c r="I228" s="34" t="s">
        <v>72</v>
      </c>
      <c r="J228" s="34" t="s">
        <v>73</v>
      </c>
      <c r="K228" s="36" t="s">
        <v>117</v>
      </c>
      <c r="L228" s="36" t="s">
        <v>117</v>
      </c>
      <c r="M228" s="36" t="s">
        <v>47</v>
      </c>
      <c r="N228" s="36" t="s">
        <v>117</v>
      </c>
      <c r="O228" s="34" t="s">
        <v>8</v>
      </c>
      <c r="P228" s="34">
        <v>2</v>
      </c>
      <c r="Q228" s="34" t="s">
        <v>12</v>
      </c>
      <c r="R228" s="34" t="s">
        <v>546</v>
      </c>
      <c r="S228" s="38" t="str">
        <f t="shared" si="3"/>
        <v>bquirogan</v>
      </c>
    </row>
    <row r="229" spans="1:19" x14ac:dyDescent="0.25">
      <c r="A229" s="34" t="s">
        <v>15</v>
      </c>
      <c r="B229" s="34">
        <v>12327544</v>
      </c>
      <c r="C229" s="34" t="s">
        <v>9</v>
      </c>
      <c r="D229" s="34" t="s">
        <v>620</v>
      </c>
      <c r="E229" s="8">
        <v>44651</v>
      </c>
      <c r="F229" s="31">
        <v>44658</v>
      </c>
      <c r="G229" s="31">
        <v>44652</v>
      </c>
      <c r="H229" s="36">
        <v>2</v>
      </c>
      <c r="I229" s="34" t="s">
        <v>72</v>
      </c>
      <c r="J229" s="34" t="s">
        <v>73</v>
      </c>
      <c r="K229" s="36" t="s">
        <v>117</v>
      </c>
      <c r="L229" s="36" t="s">
        <v>117</v>
      </c>
      <c r="M229" s="36" t="s">
        <v>47</v>
      </c>
      <c r="N229" s="36" t="s">
        <v>117</v>
      </c>
      <c r="O229" s="34" t="s">
        <v>8</v>
      </c>
      <c r="P229" s="34">
        <v>2</v>
      </c>
      <c r="Q229" s="34" t="s">
        <v>12</v>
      </c>
      <c r="R229" s="34" t="s">
        <v>547</v>
      </c>
      <c r="S229" s="38" t="str">
        <f t="shared" si="3"/>
        <v>bquirogan</v>
      </c>
    </row>
    <row r="230" spans="1:19" x14ac:dyDescent="0.25">
      <c r="A230" s="34" t="s">
        <v>15</v>
      </c>
      <c r="B230" s="34">
        <v>12328007</v>
      </c>
      <c r="C230" s="34" t="s">
        <v>9</v>
      </c>
      <c r="D230" s="34" t="s">
        <v>621</v>
      </c>
      <c r="E230" s="8">
        <v>44651</v>
      </c>
      <c r="F230" s="31">
        <v>44658</v>
      </c>
      <c r="G230" s="31">
        <v>44652</v>
      </c>
      <c r="H230" s="36">
        <v>2</v>
      </c>
      <c r="I230" s="34" t="s">
        <v>72</v>
      </c>
      <c r="J230" s="34" t="s">
        <v>73</v>
      </c>
      <c r="K230" s="36" t="s">
        <v>117</v>
      </c>
      <c r="L230" s="36" t="s">
        <v>117</v>
      </c>
      <c r="M230" s="36" t="s">
        <v>47</v>
      </c>
      <c r="N230" s="36" t="s">
        <v>117</v>
      </c>
      <c r="O230" s="34" t="s">
        <v>8</v>
      </c>
      <c r="P230" s="34">
        <v>2</v>
      </c>
      <c r="Q230" s="34" t="s">
        <v>12</v>
      </c>
      <c r="R230" s="34" t="s">
        <v>548</v>
      </c>
      <c r="S230" s="38" t="str">
        <f t="shared" si="3"/>
        <v>bquirogan</v>
      </c>
    </row>
    <row r="231" spans="1:19" x14ac:dyDescent="0.25">
      <c r="A231" s="34" t="s">
        <v>15</v>
      </c>
      <c r="B231" s="34">
        <v>12329428</v>
      </c>
      <c r="C231" s="34" t="s">
        <v>9</v>
      </c>
      <c r="D231" s="34" t="s">
        <v>622</v>
      </c>
      <c r="E231" s="8">
        <v>44651</v>
      </c>
      <c r="F231" s="31">
        <v>44658</v>
      </c>
      <c r="G231" s="31">
        <v>44652</v>
      </c>
      <c r="H231" s="36">
        <v>2</v>
      </c>
      <c r="I231" s="34" t="s">
        <v>72</v>
      </c>
      <c r="J231" s="34" t="s">
        <v>73</v>
      </c>
      <c r="K231" s="36" t="s">
        <v>117</v>
      </c>
      <c r="L231" s="36" t="s">
        <v>117</v>
      </c>
      <c r="M231" s="36" t="s">
        <v>47</v>
      </c>
      <c r="N231" s="36" t="s">
        <v>117</v>
      </c>
      <c r="O231" s="34" t="s">
        <v>8</v>
      </c>
      <c r="P231" s="34">
        <v>2</v>
      </c>
      <c r="Q231" s="34" t="s">
        <v>12</v>
      </c>
      <c r="R231" s="34" t="s">
        <v>549</v>
      </c>
      <c r="S231" s="38" t="str">
        <f t="shared" si="3"/>
        <v>bquirogan</v>
      </c>
    </row>
    <row r="232" spans="1:19" x14ac:dyDescent="0.25">
      <c r="A232" s="34" t="s">
        <v>15</v>
      </c>
      <c r="B232" s="34">
        <v>12330254</v>
      </c>
      <c r="C232" s="34" t="s">
        <v>9</v>
      </c>
      <c r="D232" s="34" t="s">
        <v>623</v>
      </c>
      <c r="E232" s="8">
        <v>44651</v>
      </c>
      <c r="F232" s="31">
        <v>44658</v>
      </c>
      <c r="G232" s="31">
        <v>44652</v>
      </c>
      <c r="H232" s="36">
        <v>2</v>
      </c>
      <c r="I232" s="34" t="s">
        <v>72</v>
      </c>
      <c r="J232" s="34" t="s">
        <v>73</v>
      </c>
      <c r="K232" s="36" t="s">
        <v>117</v>
      </c>
      <c r="L232" s="36" t="s">
        <v>117</v>
      </c>
      <c r="M232" s="36" t="s">
        <v>47</v>
      </c>
      <c r="N232" s="36" t="s">
        <v>117</v>
      </c>
      <c r="O232" s="34" t="s">
        <v>8</v>
      </c>
      <c r="P232" s="34">
        <v>2</v>
      </c>
      <c r="Q232" s="34" t="s">
        <v>12</v>
      </c>
      <c r="R232" s="34" t="s">
        <v>550</v>
      </c>
      <c r="S232" s="38" t="str">
        <f t="shared" si="3"/>
        <v>bquirogan</v>
      </c>
    </row>
    <row r="233" spans="1:19" x14ac:dyDescent="0.25">
      <c r="A233" s="34" t="s">
        <v>15</v>
      </c>
      <c r="B233" s="34">
        <v>12330565</v>
      </c>
      <c r="C233" s="34" t="s">
        <v>9</v>
      </c>
      <c r="D233" s="34" t="s">
        <v>624</v>
      </c>
      <c r="E233" s="8">
        <v>44651</v>
      </c>
      <c r="F233" s="31">
        <v>44658</v>
      </c>
      <c r="G233" s="31">
        <v>44652</v>
      </c>
      <c r="H233" s="36">
        <v>2</v>
      </c>
      <c r="I233" s="34" t="s">
        <v>72</v>
      </c>
      <c r="J233" s="34" t="s">
        <v>73</v>
      </c>
      <c r="K233" s="36" t="s">
        <v>117</v>
      </c>
      <c r="L233" s="36" t="s">
        <v>117</v>
      </c>
      <c r="M233" s="36" t="s">
        <v>47</v>
      </c>
      <c r="N233" s="36" t="s">
        <v>117</v>
      </c>
      <c r="O233" s="34" t="s">
        <v>8</v>
      </c>
      <c r="P233" s="34">
        <v>2</v>
      </c>
      <c r="Q233" s="34" t="s">
        <v>12</v>
      </c>
      <c r="R233" s="34" t="s">
        <v>551</v>
      </c>
      <c r="S233" s="38" t="str">
        <f t="shared" si="3"/>
        <v>bquirogan</v>
      </c>
    </row>
    <row r="234" spans="1:19" x14ac:dyDescent="0.25">
      <c r="A234" s="34" t="s">
        <v>15</v>
      </c>
      <c r="B234" s="34">
        <v>12331603</v>
      </c>
      <c r="C234" s="34" t="s">
        <v>9</v>
      </c>
      <c r="D234" s="34" t="s">
        <v>625</v>
      </c>
      <c r="E234" s="8">
        <v>44651</v>
      </c>
      <c r="F234" s="31">
        <v>44658</v>
      </c>
      <c r="G234" s="31">
        <v>44652</v>
      </c>
      <c r="H234" s="36">
        <v>2</v>
      </c>
      <c r="I234" s="34" t="s">
        <v>72</v>
      </c>
      <c r="J234" s="34" t="s">
        <v>73</v>
      </c>
      <c r="K234" s="36" t="s">
        <v>117</v>
      </c>
      <c r="L234" s="36" t="s">
        <v>117</v>
      </c>
      <c r="M234" s="36" t="s">
        <v>47</v>
      </c>
      <c r="N234" s="36" t="s">
        <v>117</v>
      </c>
      <c r="O234" s="34" t="s">
        <v>8</v>
      </c>
      <c r="P234" s="34">
        <v>2</v>
      </c>
      <c r="Q234" s="34" t="s">
        <v>12</v>
      </c>
      <c r="R234" s="34" t="s">
        <v>552</v>
      </c>
      <c r="S234" s="38" t="str">
        <f t="shared" si="3"/>
        <v>bquirogan</v>
      </c>
    </row>
    <row r="235" spans="1:19" x14ac:dyDescent="0.25">
      <c r="A235" s="34" t="s">
        <v>15</v>
      </c>
      <c r="B235" s="34">
        <v>12332369</v>
      </c>
      <c r="C235" s="34" t="s">
        <v>9</v>
      </c>
      <c r="D235" s="34" t="s">
        <v>626</v>
      </c>
      <c r="E235" s="8">
        <v>44651</v>
      </c>
      <c r="F235" s="31">
        <v>44658</v>
      </c>
      <c r="G235" s="31">
        <v>44652</v>
      </c>
      <c r="H235" s="36">
        <v>2</v>
      </c>
      <c r="I235" s="34" t="s">
        <v>72</v>
      </c>
      <c r="J235" s="34" t="s">
        <v>73</v>
      </c>
      <c r="K235" s="36" t="s">
        <v>117</v>
      </c>
      <c r="L235" s="36" t="s">
        <v>117</v>
      </c>
      <c r="M235" s="36" t="s">
        <v>47</v>
      </c>
      <c r="N235" s="36" t="s">
        <v>117</v>
      </c>
      <c r="O235" s="34" t="s">
        <v>8</v>
      </c>
      <c r="P235" s="34">
        <v>2</v>
      </c>
      <c r="Q235" s="34" t="s">
        <v>12</v>
      </c>
      <c r="R235" s="34" t="s">
        <v>553</v>
      </c>
      <c r="S235" s="38" t="str">
        <f t="shared" si="3"/>
        <v>bquirogan</v>
      </c>
    </row>
    <row r="236" spans="1:19" x14ac:dyDescent="0.25">
      <c r="A236" s="34" t="s">
        <v>76</v>
      </c>
      <c r="B236" s="34">
        <v>12333079</v>
      </c>
      <c r="C236" s="34" t="s">
        <v>9</v>
      </c>
      <c r="D236" s="34" t="s">
        <v>627</v>
      </c>
      <c r="E236" s="8">
        <v>44651</v>
      </c>
      <c r="F236" s="31">
        <v>44658</v>
      </c>
      <c r="G236" s="31">
        <v>44652</v>
      </c>
      <c r="H236" s="36">
        <v>2</v>
      </c>
      <c r="I236" s="34" t="s">
        <v>72</v>
      </c>
      <c r="J236" s="34" t="s">
        <v>73</v>
      </c>
      <c r="K236" s="36" t="s">
        <v>117</v>
      </c>
      <c r="L236" s="36" t="s">
        <v>117</v>
      </c>
      <c r="M236" s="36" t="s">
        <v>47</v>
      </c>
      <c r="N236" s="36" t="s">
        <v>117</v>
      </c>
      <c r="O236" s="34" t="s">
        <v>8</v>
      </c>
      <c r="P236" s="34">
        <v>2</v>
      </c>
      <c r="Q236" s="34" t="s">
        <v>12</v>
      </c>
      <c r="R236" s="34" t="s">
        <v>554</v>
      </c>
      <c r="S236" s="38" t="str">
        <f t="shared" si="3"/>
        <v>oreyesp</v>
      </c>
    </row>
    <row r="237" spans="1:19" x14ac:dyDescent="0.25">
      <c r="A237" s="34" t="s">
        <v>15</v>
      </c>
      <c r="B237" s="34">
        <v>12333959</v>
      </c>
      <c r="C237" s="34" t="s">
        <v>9</v>
      </c>
      <c r="D237" s="34" t="s">
        <v>628</v>
      </c>
      <c r="E237" s="8">
        <v>44651</v>
      </c>
      <c r="F237" s="31">
        <v>44658</v>
      </c>
      <c r="G237" s="31">
        <v>44652</v>
      </c>
      <c r="H237" s="36">
        <v>2</v>
      </c>
      <c r="I237" s="34" t="s">
        <v>72</v>
      </c>
      <c r="J237" s="34" t="s">
        <v>73</v>
      </c>
      <c r="K237" s="36" t="s">
        <v>117</v>
      </c>
      <c r="L237" s="36" t="s">
        <v>117</v>
      </c>
      <c r="M237" s="36" t="s">
        <v>47</v>
      </c>
      <c r="N237" s="36" t="s">
        <v>117</v>
      </c>
      <c r="O237" s="34" t="s">
        <v>8</v>
      </c>
      <c r="P237" s="34">
        <v>2</v>
      </c>
      <c r="Q237" s="34" t="s">
        <v>12</v>
      </c>
      <c r="R237" s="34" t="s">
        <v>555</v>
      </c>
      <c r="S237" s="38" t="str">
        <f t="shared" si="3"/>
        <v>bquirogan</v>
      </c>
    </row>
    <row r="238" spans="1:19" x14ac:dyDescent="0.25">
      <c r="A238" s="34" t="s">
        <v>21</v>
      </c>
      <c r="B238" s="34">
        <v>12332138</v>
      </c>
      <c r="C238" s="34" t="s">
        <v>14</v>
      </c>
      <c r="D238" s="34" t="s">
        <v>629</v>
      </c>
      <c r="E238" s="8">
        <v>44651</v>
      </c>
      <c r="F238" s="31">
        <v>44658</v>
      </c>
      <c r="G238" s="31">
        <v>44652</v>
      </c>
      <c r="H238" s="36">
        <v>2</v>
      </c>
      <c r="I238" s="34" t="s">
        <v>72</v>
      </c>
      <c r="J238" s="34" t="s">
        <v>73</v>
      </c>
      <c r="K238" s="36" t="s">
        <v>117</v>
      </c>
      <c r="L238" s="36" t="s">
        <v>117</v>
      </c>
      <c r="M238" s="36" t="s">
        <v>49</v>
      </c>
      <c r="N238" s="36" t="s">
        <v>117</v>
      </c>
      <c r="O238" s="34" t="s">
        <v>8</v>
      </c>
      <c r="P238" s="34">
        <v>7</v>
      </c>
      <c r="Q238" s="34" t="s">
        <v>20</v>
      </c>
      <c r="R238" s="34" t="s">
        <v>562</v>
      </c>
      <c r="S238" s="38" t="str">
        <f t="shared" si="3"/>
        <v>jlramirez</v>
      </c>
    </row>
    <row r="239" spans="1:19" x14ac:dyDescent="0.25">
      <c r="A239" s="34" t="s">
        <v>76</v>
      </c>
      <c r="B239" s="34">
        <v>12335512</v>
      </c>
      <c r="C239" s="34" t="s">
        <v>9</v>
      </c>
      <c r="D239" s="34" t="s">
        <v>630</v>
      </c>
      <c r="E239" s="8">
        <v>44651</v>
      </c>
      <c r="F239" s="31">
        <v>44658</v>
      </c>
      <c r="G239" s="31">
        <v>44652</v>
      </c>
      <c r="H239" s="36">
        <v>2</v>
      </c>
      <c r="I239" s="34" t="s">
        <v>72</v>
      </c>
      <c r="J239" s="34" t="s">
        <v>73</v>
      </c>
      <c r="K239" s="36" t="s">
        <v>117</v>
      </c>
      <c r="L239" s="36" t="s">
        <v>117</v>
      </c>
      <c r="M239" s="36" t="s">
        <v>47</v>
      </c>
      <c r="N239" s="36" t="s">
        <v>117</v>
      </c>
      <c r="O239" s="34" t="s">
        <v>8</v>
      </c>
      <c r="P239" s="34">
        <v>2</v>
      </c>
      <c r="Q239" s="34" t="s">
        <v>12</v>
      </c>
      <c r="R239" s="34" t="s">
        <v>564</v>
      </c>
      <c r="S239" s="38" t="str">
        <f t="shared" si="3"/>
        <v>oreyesp</v>
      </c>
    </row>
    <row r="240" spans="1:19" x14ac:dyDescent="0.25">
      <c r="A240" s="34" t="s">
        <v>18</v>
      </c>
      <c r="B240" s="34">
        <v>12327537</v>
      </c>
      <c r="C240" s="34" t="s">
        <v>9</v>
      </c>
      <c r="D240" s="34" t="s">
        <v>631</v>
      </c>
      <c r="E240" s="8">
        <v>44651</v>
      </c>
      <c r="F240" s="31">
        <v>44658</v>
      </c>
      <c r="G240" s="31">
        <v>44652</v>
      </c>
      <c r="H240" s="36">
        <v>2</v>
      </c>
      <c r="I240" s="34" t="s">
        <v>72</v>
      </c>
      <c r="J240" s="34" t="s">
        <v>73</v>
      </c>
      <c r="K240" s="36" t="s">
        <v>117</v>
      </c>
      <c r="L240" s="36" t="s">
        <v>117</v>
      </c>
      <c r="M240" s="36" t="s">
        <v>50</v>
      </c>
      <c r="N240" s="36" t="s">
        <v>117</v>
      </c>
      <c r="O240" s="34" t="s">
        <v>8</v>
      </c>
      <c r="P240" s="34">
        <v>6</v>
      </c>
      <c r="Q240" s="34" t="s">
        <v>19</v>
      </c>
      <c r="R240" s="34" t="s">
        <v>565</v>
      </c>
      <c r="S240" s="38" t="str">
        <f t="shared" si="3"/>
        <v>caolarte</v>
      </c>
    </row>
    <row r="241" spans="1:19" x14ac:dyDescent="0.25">
      <c r="A241" s="34" t="s">
        <v>119</v>
      </c>
      <c r="B241" s="34">
        <v>12329937</v>
      </c>
      <c r="C241" s="34" t="s">
        <v>24</v>
      </c>
      <c r="D241" s="34" t="s">
        <v>590</v>
      </c>
      <c r="E241" s="8">
        <v>44651</v>
      </c>
      <c r="F241" s="31">
        <v>44658</v>
      </c>
      <c r="G241" s="31">
        <v>44652</v>
      </c>
      <c r="H241" s="36">
        <v>2</v>
      </c>
      <c r="I241" s="34" t="s">
        <v>72</v>
      </c>
      <c r="J241" s="34" t="s">
        <v>73</v>
      </c>
      <c r="K241" s="36" t="s">
        <v>117</v>
      </c>
      <c r="L241" s="36" t="s">
        <v>117</v>
      </c>
      <c r="M241" s="36" t="s">
        <v>47</v>
      </c>
      <c r="N241" s="36" t="s">
        <v>117</v>
      </c>
      <c r="O241" s="34" t="s">
        <v>8</v>
      </c>
      <c r="P241" s="34">
        <v>2</v>
      </c>
      <c r="Q241" s="34" t="s">
        <v>12</v>
      </c>
      <c r="R241" s="34" t="s">
        <v>465</v>
      </c>
      <c r="S241" s="38" t="str">
        <f t="shared" si="3"/>
        <v>efloreza</v>
      </c>
    </row>
    <row r="242" spans="1:19" x14ac:dyDescent="0.25">
      <c r="A242" s="34" t="s">
        <v>22</v>
      </c>
      <c r="B242" s="34">
        <v>12336522</v>
      </c>
      <c r="C242" s="34" t="s">
        <v>9</v>
      </c>
      <c r="D242" s="34" t="s">
        <v>632</v>
      </c>
      <c r="E242" s="8">
        <v>44651</v>
      </c>
      <c r="F242" s="31">
        <v>44658</v>
      </c>
      <c r="G242" s="31">
        <v>44652</v>
      </c>
      <c r="H242" s="36">
        <v>2</v>
      </c>
      <c r="I242" s="34" t="s">
        <v>72</v>
      </c>
      <c r="J242" s="34" t="s">
        <v>73</v>
      </c>
      <c r="K242" s="36" t="s">
        <v>117</v>
      </c>
      <c r="L242" s="36" t="s">
        <v>117</v>
      </c>
      <c r="M242" s="36" t="s">
        <v>47</v>
      </c>
      <c r="N242" s="36" t="s">
        <v>117</v>
      </c>
      <c r="O242" s="34" t="s">
        <v>27</v>
      </c>
      <c r="P242" s="34">
        <v>2</v>
      </c>
      <c r="Q242" s="34" t="s">
        <v>12</v>
      </c>
      <c r="R242" s="34" t="s">
        <v>566</v>
      </c>
      <c r="S242" s="38" t="str">
        <f t="shared" si="3"/>
        <v>mespejov</v>
      </c>
    </row>
    <row r="243" spans="1:19" x14ac:dyDescent="0.25">
      <c r="A243" s="34" t="s">
        <v>22</v>
      </c>
      <c r="B243" s="34">
        <v>12336549</v>
      </c>
      <c r="C243" s="34" t="s">
        <v>9</v>
      </c>
      <c r="D243" s="34" t="s">
        <v>633</v>
      </c>
      <c r="E243" s="8">
        <v>44651</v>
      </c>
      <c r="F243" s="31">
        <v>44658</v>
      </c>
      <c r="G243" s="31">
        <v>44652</v>
      </c>
      <c r="H243" s="36">
        <v>2</v>
      </c>
      <c r="I243" s="34" t="s">
        <v>72</v>
      </c>
      <c r="J243" s="34" t="s">
        <v>73</v>
      </c>
      <c r="K243" s="36" t="s">
        <v>117</v>
      </c>
      <c r="L243" s="36" t="s">
        <v>117</v>
      </c>
      <c r="M243" s="36" t="s">
        <v>47</v>
      </c>
      <c r="N243" s="36" t="s">
        <v>117</v>
      </c>
      <c r="O243" s="34" t="s">
        <v>27</v>
      </c>
      <c r="P243" s="34">
        <v>2</v>
      </c>
      <c r="Q243" s="34" t="s">
        <v>12</v>
      </c>
      <c r="R243" s="34" t="s">
        <v>567</v>
      </c>
      <c r="S243" s="38" t="str">
        <f t="shared" si="3"/>
        <v>mespejov</v>
      </c>
    </row>
    <row r="244" spans="1:19" x14ac:dyDescent="0.25">
      <c r="A244" s="34" t="s">
        <v>22</v>
      </c>
      <c r="B244" s="34">
        <v>12337257</v>
      </c>
      <c r="C244" s="34" t="s">
        <v>9</v>
      </c>
      <c r="D244" s="34" t="s">
        <v>634</v>
      </c>
      <c r="E244" s="8">
        <v>44651</v>
      </c>
      <c r="F244" s="31">
        <v>44658</v>
      </c>
      <c r="G244" s="31">
        <v>44652</v>
      </c>
      <c r="H244" s="36">
        <v>2</v>
      </c>
      <c r="I244" s="34" t="s">
        <v>72</v>
      </c>
      <c r="J244" s="34" t="s">
        <v>73</v>
      </c>
      <c r="K244" s="36" t="s">
        <v>117</v>
      </c>
      <c r="L244" s="36" t="s">
        <v>117</v>
      </c>
      <c r="M244" s="36" t="s">
        <v>47</v>
      </c>
      <c r="N244" s="36" t="s">
        <v>117</v>
      </c>
      <c r="O244" s="34" t="s">
        <v>27</v>
      </c>
      <c r="P244" s="34">
        <v>2</v>
      </c>
      <c r="Q244" s="34" t="s">
        <v>12</v>
      </c>
      <c r="R244" s="34" t="s">
        <v>568</v>
      </c>
      <c r="S244" s="38" t="str">
        <f t="shared" si="3"/>
        <v>mespejov</v>
      </c>
    </row>
    <row r="245" spans="1:19" x14ac:dyDescent="0.25">
      <c r="A245" s="34" t="s">
        <v>22</v>
      </c>
      <c r="B245" s="34">
        <v>12337303</v>
      </c>
      <c r="C245" s="34" t="s">
        <v>9</v>
      </c>
      <c r="D245" s="34" t="s">
        <v>635</v>
      </c>
      <c r="E245" s="8">
        <v>44651</v>
      </c>
      <c r="F245" s="31">
        <v>44658</v>
      </c>
      <c r="G245" s="31">
        <v>44652</v>
      </c>
      <c r="H245" s="36">
        <v>2</v>
      </c>
      <c r="I245" s="34" t="s">
        <v>72</v>
      </c>
      <c r="J245" s="34" t="s">
        <v>73</v>
      </c>
      <c r="K245" s="36" t="s">
        <v>117</v>
      </c>
      <c r="L245" s="36" t="s">
        <v>117</v>
      </c>
      <c r="M245" s="36" t="s">
        <v>47</v>
      </c>
      <c r="N245" s="36" t="s">
        <v>117</v>
      </c>
      <c r="O245" s="34" t="s">
        <v>27</v>
      </c>
      <c r="P245" s="34">
        <v>2</v>
      </c>
      <c r="Q245" s="34" t="s">
        <v>12</v>
      </c>
      <c r="R245" s="34" t="s">
        <v>569</v>
      </c>
      <c r="S245" s="38" t="str">
        <f t="shared" si="3"/>
        <v>mespejov</v>
      </c>
    </row>
    <row r="246" spans="1:19" x14ac:dyDescent="0.25">
      <c r="A246" s="34" t="s">
        <v>22</v>
      </c>
      <c r="B246" s="34">
        <v>12323421</v>
      </c>
      <c r="C246" s="34" t="s">
        <v>24</v>
      </c>
      <c r="D246" s="34" t="s">
        <v>636</v>
      </c>
      <c r="E246" s="8">
        <v>44651</v>
      </c>
      <c r="F246" s="31">
        <v>44658</v>
      </c>
      <c r="G246" s="31">
        <v>44652</v>
      </c>
      <c r="H246" s="36">
        <v>2</v>
      </c>
      <c r="I246" s="34" t="s">
        <v>72</v>
      </c>
      <c r="J246" s="34" t="s">
        <v>73</v>
      </c>
      <c r="K246" s="36" t="s">
        <v>117</v>
      </c>
      <c r="L246" s="36" t="s">
        <v>117</v>
      </c>
      <c r="M246" s="36" t="s">
        <v>47</v>
      </c>
      <c r="N246" s="36" t="s">
        <v>117</v>
      </c>
      <c r="O246" s="34" t="s">
        <v>28</v>
      </c>
      <c r="P246" s="34">
        <v>2</v>
      </c>
      <c r="Q246" s="34" t="s">
        <v>30</v>
      </c>
      <c r="R246" s="34" t="s">
        <v>570</v>
      </c>
      <c r="S246" s="38" t="str">
        <f t="shared" si="3"/>
        <v>mespejov</v>
      </c>
    </row>
    <row r="247" spans="1:19" x14ac:dyDescent="0.25">
      <c r="A247" s="34" t="s">
        <v>22</v>
      </c>
      <c r="B247" s="34">
        <v>12325498</v>
      </c>
      <c r="C247" s="34" t="s">
        <v>24</v>
      </c>
      <c r="D247" s="34" t="s">
        <v>637</v>
      </c>
      <c r="E247" s="8">
        <v>44651</v>
      </c>
      <c r="F247" s="31">
        <v>44658</v>
      </c>
      <c r="G247" s="31">
        <v>44652</v>
      </c>
      <c r="H247" s="36">
        <v>2</v>
      </c>
      <c r="I247" s="34" t="s">
        <v>72</v>
      </c>
      <c r="J247" s="34" t="s">
        <v>73</v>
      </c>
      <c r="K247" s="36" t="s">
        <v>117</v>
      </c>
      <c r="L247" s="36" t="s">
        <v>117</v>
      </c>
      <c r="M247" s="36" t="s">
        <v>47</v>
      </c>
      <c r="N247" s="36" t="s">
        <v>117</v>
      </c>
      <c r="O247" s="34" t="s">
        <v>28</v>
      </c>
      <c r="P247" s="34">
        <v>2</v>
      </c>
      <c r="Q247" s="34" t="s">
        <v>30</v>
      </c>
      <c r="R247" s="34" t="s">
        <v>571</v>
      </c>
      <c r="S247" s="38" t="str">
        <f t="shared" si="3"/>
        <v>mespejov</v>
      </c>
    </row>
    <row r="248" spans="1:19" x14ac:dyDescent="0.25">
      <c r="A248" s="34" t="s">
        <v>22</v>
      </c>
      <c r="B248" s="34">
        <v>12325995</v>
      </c>
      <c r="C248" s="34" t="s">
        <v>24</v>
      </c>
      <c r="D248" s="34" t="s">
        <v>638</v>
      </c>
      <c r="E248" s="8">
        <v>44651</v>
      </c>
      <c r="F248" s="31">
        <v>44658</v>
      </c>
      <c r="G248" s="31">
        <v>44652</v>
      </c>
      <c r="H248" s="36">
        <v>2</v>
      </c>
      <c r="I248" s="34" t="s">
        <v>72</v>
      </c>
      <c r="J248" s="34" t="s">
        <v>73</v>
      </c>
      <c r="K248" s="36" t="s">
        <v>117</v>
      </c>
      <c r="L248" s="36" t="s">
        <v>117</v>
      </c>
      <c r="M248" s="36" t="s">
        <v>47</v>
      </c>
      <c r="N248" s="36" t="s">
        <v>117</v>
      </c>
      <c r="O248" s="34" t="s">
        <v>28</v>
      </c>
      <c r="P248" s="34">
        <v>2</v>
      </c>
      <c r="Q248" s="34" t="s">
        <v>30</v>
      </c>
      <c r="R248" s="34" t="s">
        <v>572</v>
      </c>
      <c r="S248" s="38" t="str">
        <f t="shared" si="3"/>
        <v>mespejov</v>
      </c>
    </row>
    <row r="249" spans="1:19" x14ac:dyDescent="0.25">
      <c r="A249" s="34" t="s">
        <v>22</v>
      </c>
      <c r="B249" s="34">
        <v>12327930</v>
      </c>
      <c r="C249" s="34" t="s">
        <v>24</v>
      </c>
      <c r="D249" s="34" t="s">
        <v>639</v>
      </c>
      <c r="E249" s="8">
        <v>44651</v>
      </c>
      <c r="F249" s="31">
        <v>44658</v>
      </c>
      <c r="G249" s="31">
        <v>44652</v>
      </c>
      <c r="H249" s="36">
        <v>2</v>
      </c>
      <c r="I249" s="34" t="s">
        <v>72</v>
      </c>
      <c r="J249" s="34" t="s">
        <v>73</v>
      </c>
      <c r="K249" s="36" t="s">
        <v>117</v>
      </c>
      <c r="L249" s="36" t="s">
        <v>117</v>
      </c>
      <c r="M249" s="36" t="s">
        <v>47</v>
      </c>
      <c r="N249" s="36" t="s">
        <v>117</v>
      </c>
      <c r="O249" s="34" t="s">
        <v>28</v>
      </c>
      <c r="P249" s="34">
        <v>2</v>
      </c>
      <c r="Q249" s="34" t="s">
        <v>30</v>
      </c>
      <c r="R249" s="34" t="s">
        <v>573</v>
      </c>
      <c r="S249" s="38" t="str">
        <f t="shared" si="3"/>
        <v>mespejov</v>
      </c>
    </row>
    <row r="250" spans="1:19" x14ac:dyDescent="0.25">
      <c r="A250" s="34" t="s">
        <v>22</v>
      </c>
      <c r="B250" s="34">
        <v>12332452</v>
      </c>
      <c r="C250" s="34" t="s">
        <v>24</v>
      </c>
      <c r="D250" s="34" t="s">
        <v>640</v>
      </c>
      <c r="E250" s="8">
        <v>44651</v>
      </c>
      <c r="F250" s="31">
        <v>44658</v>
      </c>
      <c r="G250" s="31">
        <v>44652</v>
      </c>
      <c r="H250" s="36">
        <v>2</v>
      </c>
      <c r="I250" s="34" t="s">
        <v>72</v>
      </c>
      <c r="J250" s="34" t="s">
        <v>73</v>
      </c>
      <c r="K250" s="36" t="s">
        <v>117</v>
      </c>
      <c r="L250" s="36" t="s">
        <v>117</v>
      </c>
      <c r="M250" s="36" t="s">
        <v>47</v>
      </c>
      <c r="N250" s="36" t="s">
        <v>117</v>
      </c>
      <c r="O250" s="34" t="s">
        <v>28</v>
      </c>
      <c r="P250" s="34">
        <v>2</v>
      </c>
      <c r="Q250" s="34" t="s">
        <v>30</v>
      </c>
      <c r="R250" s="34" t="s">
        <v>574</v>
      </c>
      <c r="S250" s="38" t="str">
        <f t="shared" si="3"/>
        <v>mespejov</v>
      </c>
    </row>
    <row r="251" spans="1:19" x14ac:dyDescent="0.25">
      <c r="A251" s="34" t="s">
        <v>22</v>
      </c>
      <c r="B251" s="34">
        <v>12325605</v>
      </c>
      <c r="C251" s="34" t="s">
        <v>24</v>
      </c>
      <c r="D251" s="34" t="s">
        <v>641</v>
      </c>
      <c r="E251" s="8">
        <v>44651</v>
      </c>
      <c r="F251" s="31">
        <v>44658</v>
      </c>
      <c r="G251" s="31">
        <v>44652</v>
      </c>
      <c r="H251" s="36">
        <v>2</v>
      </c>
      <c r="I251" s="34" t="s">
        <v>72</v>
      </c>
      <c r="J251" s="34" t="s">
        <v>73</v>
      </c>
      <c r="K251" s="36" t="s">
        <v>117</v>
      </c>
      <c r="L251" s="36" t="s">
        <v>117</v>
      </c>
      <c r="M251" s="36" t="s">
        <v>47</v>
      </c>
      <c r="N251" s="36" t="s">
        <v>117</v>
      </c>
      <c r="O251" s="34" t="s">
        <v>28</v>
      </c>
      <c r="P251" s="34">
        <v>2</v>
      </c>
      <c r="Q251" s="34" t="s">
        <v>30</v>
      </c>
      <c r="R251" s="34" t="s">
        <v>575</v>
      </c>
      <c r="S251" s="38" t="str">
        <f t="shared" si="3"/>
        <v>mespejov</v>
      </c>
    </row>
    <row r="252" spans="1:19" x14ac:dyDescent="0.25">
      <c r="A252" s="34" t="s">
        <v>22</v>
      </c>
      <c r="B252" s="34">
        <v>12332824</v>
      </c>
      <c r="C252" s="34" t="s">
        <v>24</v>
      </c>
      <c r="D252" s="34" t="s">
        <v>642</v>
      </c>
      <c r="E252" s="8">
        <v>44651</v>
      </c>
      <c r="F252" s="31">
        <v>44658</v>
      </c>
      <c r="G252" s="31">
        <v>44652</v>
      </c>
      <c r="H252" s="36">
        <v>2</v>
      </c>
      <c r="I252" s="34" t="s">
        <v>72</v>
      </c>
      <c r="J252" s="34" t="s">
        <v>73</v>
      </c>
      <c r="K252" s="36" t="s">
        <v>117</v>
      </c>
      <c r="L252" s="36" t="s">
        <v>117</v>
      </c>
      <c r="M252" s="36" t="s">
        <v>47</v>
      </c>
      <c r="N252" s="36" t="s">
        <v>117</v>
      </c>
      <c r="O252" s="34" t="s">
        <v>28</v>
      </c>
      <c r="P252" s="34">
        <v>2</v>
      </c>
      <c r="Q252" s="34" t="s">
        <v>30</v>
      </c>
      <c r="R252" s="34" t="s">
        <v>576</v>
      </c>
      <c r="S252" s="38" t="str">
        <f t="shared" si="3"/>
        <v>mespejov</v>
      </c>
    </row>
    <row r="253" spans="1:19" x14ac:dyDescent="0.25">
      <c r="A253" s="34" t="s">
        <v>22</v>
      </c>
      <c r="B253" s="34">
        <v>12335262</v>
      </c>
      <c r="C253" s="34" t="s">
        <v>24</v>
      </c>
      <c r="D253" s="34" t="s">
        <v>643</v>
      </c>
      <c r="E253" s="8">
        <v>44651</v>
      </c>
      <c r="F253" s="31">
        <v>44658</v>
      </c>
      <c r="G253" s="31">
        <v>44652</v>
      </c>
      <c r="H253" s="36">
        <v>2</v>
      </c>
      <c r="I253" s="34" t="s">
        <v>72</v>
      </c>
      <c r="J253" s="34" t="s">
        <v>73</v>
      </c>
      <c r="K253" s="36" t="s">
        <v>117</v>
      </c>
      <c r="L253" s="36" t="s">
        <v>117</v>
      </c>
      <c r="M253" s="36" t="s">
        <v>47</v>
      </c>
      <c r="N253" s="36" t="s">
        <v>117</v>
      </c>
      <c r="O253" s="34" t="s">
        <v>28</v>
      </c>
      <c r="P253" s="34">
        <v>2</v>
      </c>
      <c r="Q253" s="34" t="s">
        <v>30</v>
      </c>
      <c r="R253" s="34" t="s">
        <v>577</v>
      </c>
      <c r="S253" s="38" t="str">
        <f t="shared" si="3"/>
        <v>mespejov</v>
      </c>
    </row>
    <row r="254" spans="1:19" x14ac:dyDescent="0.25">
      <c r="A254" s="34" t="s">
        <v>22</v>
      </c>
      <c r="B254" s="34">
        <v>12335602</v>
      </c>
      <c r="C254" s="34" t="s">
        <v>24</v>
      </c>
      <c r="D254" s="34" t="s">
        <v>644</v>
      </c>
      <c r="E254" s="8">
        <v>44651</v>
      </c>
      <c r="F254" s="31">
        <v>44658</v>
      </c>
      <c r="G254" s="31">
        <v>44652</v>
      </c>
      <c r="H254" s="36">
        <v>2</v>
      </c>
      <c r="I254" s="34" t="s">
        <v>72</v>
      </c>
      <c r="J254" s="34" t="s">
        <v>73</v>
      </c>
      <c r="K254" s="36" t="s">
        <v>117</v>
      </c>
      <c r="L254" s="36" t="s">
        <v>117</v>
      </c>
      <c r="M254" s="36" t="s">
        <v>47</v>
      </c>
      <c r="N254" s="36" t="s">
        <v>117</v>
      </c>
      <c r="O254" s="34" t="s">
        <v>28</v>
      </c>
      <c r="P254" s="34">
        <v>2</v>
      </c>
      <c r="Q254" s="34" t="s">
        <v>30</v>
      </c>
      <c r="R254" s="34" t="s">
        <v>578</v>
      </c>
      <c r="S254" s="38" t="str">
        <f t="shared" si="3"/>
        <v>mespejov</v>
      </c>
    </row>
    <row r="255" spans="1:19" x14ac:dyDescent="0.25">
      <c r="A255" s="34" t="s">
        <v>22</v>
      </c>
      <c r="B255" s="34">
        <v>12332543</v>
      </c>
      <c r="C255" s="34" t="s">
        <v>24</v>
      </c>
      <c r="D255" s="34" t="s">
        <v>645</v>
      </c>
      <c r="E255" s="8">
        <v>44651</v>
      </c>
      <c r="F255" s="31">
        <v>44658</v>
      </c>
      <c r="G255" s="31">
        <v>44652</v>
      </c>
      <c r="H255" s="36">
        <v>2</v>
      </c>
      <c r="I255" s="34" t="s">
        <v>72</v>
      </c>
      <c r="J255" s="34" t="s">
        <v>73</v>
      </c>
      <c r="K255" s="36" t="s">
        <v>117</v>
      </c>
      <c r="L255" s="36" t="s">
        <v>117</v>
      </c>
      <c r="M255" s="36" t="s">
        <v>47</v>
      </c>
      <c r="N255" s="36" t="s">
        <v>117</v>
      </c>
      <c r="O255" s="34" t="s">
        <v>28</v>
      </c>
      <c r="P255" s="34">
        <v>2</v>
      </c>
      <c r="Q255" s="34" t="s">
        <v>30</v>
      </c>
      <c r="R255" s="34" t="s">
        <v>579</v>
      </c>
      <c r="S255" s="38" t="str">
        <f t="shared" si="3"/>
        <v>mespejov</v>
      </c>
    </row>
    <row r="256" spans="1:19" x14ac:dyDescent="0.25">
      <c r="A256" s="34" t="s">
        <v>22</v>
      </c>
      <c r="B256" s="34">
        <v>12301206</v>
      </c>
      <c r="C256" s="34" t="s">
        <v>24</v>
      </c>
      <c r="D256" s="34" t="s">
        <v>646</v>
      </c>
      <c r="E256" s="8">
        <v>44651</v>
      </c>
      <c r="F256" s="31">
        <v>44658</v>
      </c>
      <c r="G256" s="31">
        <v>44652</v>
      </c>
      <c r="H256" s="36">
        <v>2</v>
      </c>
      <c r="I256" s="34" t="s">
        <v>72</v>
      </c>
      <c r="J256" s="34" t="s">
        <v>73</v>
      </c>
      <c r="K256" s="36" t="s">
        <v>117</v>
      </c>
      <c r="L256" s="36" t="s">
        <v>117</v>
      </c>
      <c r="M256" s="36" t="s">
        <v>47</v>
      </c>
      <c r="N256" s="36" t="s">
        <v>117</v>
      </c>
      <c r="O256" s="34" t="s">
        <v>28</v>
      </c>
      <c r="P256" s="34">
        <v>3</v>
      </c>
      <c r="Q256" s="34" t="s">
        <v>29</v>
      </c>
      <c r="R256" s="34" t="s">
        <v>580</v>
      </c>
      <c r="S256" s="38" t="str">
        <f t="shared" si="3"/>
        <v>mespejov</v>
      </c>
    </row>
    <row r="257" spans="1:19" x14ac:dyDescent="0.25">
      <c r="A257" s="34" t="s">
        <v>22</v>
      </c>
      <c r="B257" s="34">
        <v>12325602</v>
      </c>
      <c r="C257" s="34" t="s">
        <v>24</v>
      </c>
      <c r="D257" s="34" t="s">
        <v>647</v>
      </c>
      <c r="E257" s="8">
        <v>44651</v>
      </c>
      <c r="F257" s="31">
        <v>44658</v>
      </c>
      <c r="G257" s="31">
        <v>44652</v>
      </c>
      <c r="H257" s="36">
        <v>2</v>
      </c>
      <c r="I257" s="34" t="s">
        <v>72</v>
      </c>
      <c r="J257" s="34" t="s">
        <v>73</v>
      </c>
      <c r="K257" s="36" t="s">
        <v>117</v>
      </c>
      <c r="L257" s="36" t="s">
        <v>117</v>
      </c>
      <c r="M257" s="36" t="s">
        <v>47</v>
      </c>
      <c r="N257" s="36" t="s">
        <v>117</v>
      </c>
      <c r="O257" s="34" t="s">
        <v>28</v>
      </c>
      <c r="P257" s="34">
        <v>2</v>
      </c>
      <c r="Q257" s="34" t="s">
        <v>30</v>
      </c>
      <c r="R257" s="34" t="s">
        <v>581</v>
      </c>
      <c r="S257" s="38" t="str">
        <f t="shared" si="3"/>
        <v>mespejov</v>
      </c>
    </row>
    <row r="258" spans="1:19" x14ac:dyDescent="0.25">
      <c r="A258" s="34"/>
      <c r="B258" s="34"/>
      <c r="C258" s="34"/>
      <c r="D258" s="34"/>
      <c r="E258" s="8"/>
      <c r="F258" s="31"/>
      <c r="G258" s="31"/>
      <c r="H258" s="36"/>
      <c r="I258" s="34"/>
      <c r="J258" s="34"/>
      <c r="K258" s="36"/>
      <c r="L258" s="36"/>
      <c r="M258" s="36"/>
      <c r="N258" s="36"/>
      <c r="O258" s="34"/>
      <c r="P258" s="34"/>
      <c r="Q258" s="34"/>
      <c r="R258" s="34"/>
      <c r="S258" s="38" t="str">
        <f t="shared" si="3"/>
        <v/>
      </c>
    </row>
    <row r="259" spans="1:19" x14ac:dyDescent="0.25">
      <c r="A259" s="34"/>
      <c r="B259" s="34"/>
      <c r="C259" s="34"/>
      <c r="D259" s="34"/>
      <c r="E259" s="8"/>
      <c r="F259" s="31"/>
      <c r="G259" s="31"/>
      <c r="H259" s="36"/>
      <c r="I259" s="34"/>
      <c r="J259" s="34"/>
      <c r="K259" s="36"/>
      <c r="L259" s="36"/>
      <c r="M259" s="36"/>
      <c r="N259" s="36"/>
      <c r="O259" s="34"/>
      <c r="P259" s="34"/>
      <c r="Q259" s="34"/>
      <c r="R259" s="34"/>
      <c r="S259" s="38" t="str">
        <f t="shared" ref="S259:S322" si="4">IF($A259="","",$A259)</f>
        <v/>
      </c>
    </row>
    <row r="260" spans="1:19" x14ac:dyDescent="0.25">
      <c r="A260" s="34"/>
      <c r="B260" s="34"/>
      <c r="C260" s="34"/>
      <c r="D260" s="34"/>
      <c r="E260" s="8"/>
      <c r="F260" s="31"/>
      <c r="G260" s="31"/>
      <c r="H260" s="36"/>
      <c r="I260" s="34"/>
      <c r="J260" s="34"/>
      <c r="K260" s="36"/>
      <c r="L260" s="36"/>
      <c r="M260" s="36"/>
      <c r="N260" s="36"/>
      <c r="O260" s="34"/>
      <c r="P260" s="34"/>
      <c r="Q260" s="34"/>
      <c r="R260" s="34"/>
      <c r="S260" s="38" t="str">
        <f t="shared" si="4"/>
        <v/>
      </c>
    </row>
    <row r="261" spans="1:19" x14ac:dyDescent="0.25">
      <c r="A261" s="34"/>
      <c r="B261" s="34"/>
      <c r="C261" s="34"/>
      <c r="D261" s="34"/>
      <c r="E261" s="8"/>
      <c r="F261" s="31"/>
      <c r="G261" s="31"/>
      <c r="H261" s="36"/>
      <c r="I261" s="34"/>
      <c r="J261" s="34"/>
      <c r="K261" s="36"/>
      <c r="L261" s="36"/>
      <c r="M261" s="36"/>
      <c r="N261" s="36"/>
      <c r="O261" s="34"/>
      <c r="P261" s="34"/>
      <c r="Q261" s="34"/>
      <c r="R261" s="34"/>
      <c r="S261" s="38" t="str">
        <f t="shared" si="4"/>
        <v/>
      </c>
    </row>
    <row r="262" spans="1:19" x14ac:dyDescent="0.25">
      <c r="A262" s="34"/>
      <c r="B262" s="34"/>
      <c r="C262" s="34"/>
      <c r="D262" s="34"/>
      <c r="E262" s="8"/>
      <c r="F262" s="31"/>
      <c r="G262" s="31"/>
      <c r="H262" s="36"/>
      <c r="I262" s="34"/>
      <c r="J262" s="34"/>
      <c r="K262" s="36"/>
      <c r="L262" s="36"/>
      <c r="M262" s="36"/>
      <c r="N262" s="36"/>
      <c r="O262" s="34"/>
      <c r="P262" s="34"/>
      <c r="Q262" s="34"/>
      <c r="R262" s="34"/>
      <c r="S262" s="38" t="str">
        <f t="shared" si="4"/>
        <v/>
      </c>
    </row>
    <row r="263" spans="1:19" x14ac:dyDescent="0.25">
      <c r="A263" s="34"/>
      <c r="B263" s="34"/>
      <c r="C263" s="34"/>
      <c r="D263" s="34"/>
      <c r="E263" s="8"/>
      <c r="F263" s="31"/>
      <c r="G263" s="31"/>
      <c r="H263" s="36"/>
      <c r="I263" s="34"/>
      <c r="J263" s="34"/>
      <c r="K263" s="36"/>
      <c r="L263" s="36"/>
      <c r="M263" s="36"/>
      <c r="N263" s="36"/>
      <c r="O263" s="34"/>
      <c r="P263" s="34"/>
      <c r="Q263" s="34"/>
      <c r="R263" s="34"/>
      <c r="S263" s="38" t="str">
        <f t="shared" si="4"/>
        <v/>
      </c>
    </row>
    <row r="264" spans="1:19" x14ac:dyDescent="0.25">
      <c r="A264" s="34"/>
      <c r="B264" s="34"/>
      <c r="C264" s="34"/>
      <c r="D264" s="34"/>
      <c r="E264" s="8"/>
      <c r="F264" s="31"/>
      <c r="G264" s="31"/>
      <c r="H264" s="36"/>
      <c r="I264" s="34"/>
      <c r="J264" s="34"/>
      <c r="K264" s="36"/>
      <c r="L264" s="36"/>
      <c r="M264" s="36"/>
      <c r="N264" s="36"/>
      <c r="O264" s="34"/>
      <c r="P264" s="34"/>
      <c r="Q264" s="34"/>
      <c r="R264" s="34"/>
      <c r="S264" s="38" t="str">
        <f t="shared" si="4"/>
        <v/>
      </c>
    </row>
    <row r="265" spans="1:19" x14ac:dyDescent="0.25">
      <c r="A265" s="34"/>
      <c r="B265" s="34"/>
      <c r="C265" s="34"/>
      <c r="D265" s="34"/>
      <c r="E265" s="8"/>
      <c r="F265" s="31"/>
      <c r="G265" s="31"/>
      <c r="H265" s="36"/>
      <c r="I265" s="34"/>
      <c r="J265" s="34"/>
      <c r="K265" s="36"/>
      <c r="L265" s="36"/>
      <c r="M265" s="36"/>
      <c r="N265" s="36"/>
      <c r="O265" s="34"/>
      <c r="P265" s="34"/>
      <c r="Q265" s="34"/>
      <c r="R265" s="34"/>
      <c r="S265" s="38" t="str">
        <f t="shared" si="4"/>
        <v/>
      </c>
    </row>
    <row r="266" spans="1:19" x14ac:dyDescent="0.25">
      <c r="A266" s="34"/>
      <c r="B266" s="34"/>
      <c r="C266" s="34"/>
      <c r="D266" s="34"/>
      <c r="E266" s="8"/>
      <c r="F266" s="31"/>
      <c r="G266" s="31"/>
      <c r="H266" s="36"/>
      <c r="I266" s="34"/>
      <c r="J266" s="34"/>
      <c r="K266" s="36"/>
      <c r="L266" s="36"/>
      <c r="M266" s="36"/>
      <c r="N266" s="36"/>
      <c r="O266" s="34"/>
      <c r="P266" s="34"/>
      <c r="Q266" s="34"/>
      <c r="R266" s="34"/>
      <c r="S266" s="38" t="str">
        <f t="shared" si="4"/>
        <v/>
      </c>
    </row>
    <row r="267" spans="1:19" x14ac:dyDescent="0.25">
      <c r="A267" s="34"/>
      <c r="B267" s="34"/>
      <c r="C267" s="34"/>
      <c r="D267" s="34"/>
      <c r="E267" s="8"/>
      <c r="F267" s="31"/>
      <c r="G267" s="31"/>
      <c r="H267" s="36"/>
      <c r="I267" s="34"/>
      <c r="J267" s="34"/>
      <c r="K267" s="36"/>
      <c r="L267" s="36"/>
      <c r="M267" s="36"/>
      <c r="N267" s="36"/>
      <c r="O267" s="34"/>
      <c r="P267" s="34"/>
      <c r="Q267" s="34"/>
      <c r="R267" s="34"/>
      <c r="S267" s="38" t="str">
        <f t="shared" si="4"/>
        <v/>
      </c>
    </row>
    <row r="268" spans="1:19" x14ac:dyDescent="0.25">
      <c r="A268" s="34"/>
      <c r="B268" s="34"/>
      <c r="C268" s="34"/>
      <c r="D268" s="34"/>
      <c r="E268" s="8"/>
      <c r="F268" s="31"/>
      <c r="G268" s="31"/>
      <c r="H268" s="36"/>
      <c r="I268" s="34"/>
      <c r="J268" s="34"/>
      <c r="K268" s="36"/>
      <c r="L268" s="36"/>
      <c r="M268" s="36"/>
      <c r="N268" s="36"/>
      <c r="O268" s="34"/>
      <c r="P268" s="34"/>
      <c r="Q268" s="34"/>
      <c r="R268" s="34"/>
      <c r="S268" s="38" t="str">
        <f t="shared" si="4"/>
        <v/>
      </c>
    </row>
    <row r="269" spans="1:19" x14ac:dyDescent="0.25">
      <c r="A269" s="34"/>
      <c r="B269" s="34"/>
      <c r="C269" s="34"/>
      <c r="D269" s="34"/>
      <c r="E269" s="8"/>
      <c r="F269" s="31"/>
      <c r="G269" s="31"/>
      <c r="H269" s="36"/>
      <c r="I269" s="34"/>
      <c r="J269" s="34"/>
      <c r="K269" s="36"/>
      <c r="L269" s="36"/>
      <c r="M269" s="36"/>
      <c r="N269" s="36"/>
      <c r="O269" s="34"/>
      <c r="P269" s="34"/>
      <c r="Q269" s="34"/>
      <c r="R269" s="34"/>
      <c r="S269" s="38" t="str">
        <f t="shared" si="4"/>
        <v/>
      </c>
    </row>
    <row r="270" spans="1:19" x14ac:dyDescent="0.25">
      <c r="A270" s="34"/>
      <c r="B270" s="34"/>
      <c r="C270" s="34"/>
      <c r="D270" s="34"/>
      <c r="E270" s="8"/>
      <c r="F270" s="31"/>
      <c r="G270" s="31"/>
      <c r="H270" s="36"/>
      <c r="I270" s="34"/>
      <c r="J270" s="34"/>
      <c r="K270" s="36"/>
      <c r="L270" s="36"/>
      <c r="M270" s="36"/>
      <c r="N270" s="36"/>
      <c r="O270" s="34"/>
      <c r="P270" s="34"/>
      <c r="Q270" s="34"/>
      <c r="R270" s="34"/>
      <c r="S270" s="38" t="str">
        <f t="shared" si="4"/>
        <v/>
      </c>
    </row>
    <row r="271" spans="1:19" x14ac:dyDescent="0.25">
      <c r="A271" s="34"/>
      <c r="B271" s="34"/>
      <c r="C271" s="34"/>
      <c r="D271" s="34"/>
      <c r="E271" s="8"/>
      <c r="F271" s="31"/>
      <c r="G271" s="31"/>
      <c r="H271" s="36"/>
      <c r="I271" s="34"/>
      <c r="J271" s="34"/>
      <c r="K271" s="36"/>
      <c r="L271" s="36"/>
      <c r="M271" s="36"/>
      <c r="N271" s="36"/>
      <c r="O271" s="34"/>
      <c r="P271" s="34"/>
      <c r="Q271" s="34"/>
      <c r="R271" s="34"/>
      <c r="S271" s="38" t="str">
        <f t="shared" si="4"/>
        <v/>
      </c>
    </row>
    <row r="272" spans="1:19" x14ac:dyDescent="0.25">
      <c r="A272" s="34"/>
      <c r="B272" s="34"/>
      <c r="C272" s="34"/>
      <c r="D272" s="34"/>
      <c r="E272" s="8"/>
      <c r="F272" s="31"/>
      <c r="G272" s="31"/>
      <c r="H272" s="36"/>
      <c r="I272" s="34"/>
      <c r="J272" s="34"/>
      <c r="K272" s="36"/>
      <c r="L272" s="36"/>
      <c r="M272" s="36"/>
      <c r="N272" s="36"/>
      <c r="O272" s="34"/>
      <c r="P272" s="34"/>
      <c r="Q272" s="34"/>
      <c r="R272" s="34"/>
      <c r="S272" s="38" t="str">
        <f t="shared" si="4"/>
        <v/>
      </c>
    </row>
    <row r="273" spans="1:19" x14ac:dyDescent="0.25">
      <c r="A273" s="34"/>
      <c r="B273" s="34"/>
      <c r="C273" s="34"/>
      <c r="D273" s="34"/>
      <c r="E273" s="8"/>
      <c r="F273" s="31"/>
      <c r="G273" s="31"/>
      <c r="H273" s="36"/>
      <c r="I273" s="34"/>
      <c r="J273" s="34"/>
      <c r="K273" s="36"/>
      <c r="L273" s="36"/>
      <c r="M273" s="36"/>
      <c r="N273" s="36"/>
      <c r="O273" s="34"/>
      <c r="P273" s="34"/>
      <c r="Q273" s="34"/>
      <c r="R273" s="34"/>
      <c r="S273" s="38" t="str">
        <f t="shared" si="4"/>
        <v/>
      </c>
    </row>
    <row r="274" spans="1:19" x14ac:dyDescent="0.25">
      <c r="A274" s="34"/>
      <c r="B274" s="34"/>
      <c r="C274" s="34"/>
      <c r="D274" s="34"/>
      <c r="E274" s="8"/>
      <c r="F274" s="31"/>
      <c r="G274" s="31"/>
      <c r="H274" s="36"/>
      <c r="I274" s="34"/>
      <c r="J274" s="34"/>
      <c r="K274" s="36"/>
      <c r="L274" s="36"/>
      <c r="M274" s="36"/>
      <c r="N274" s="36"/>
      <c r="O274" s="34"/>
      <c r="P274" s="34"/>
      <c r="Q274" s="34"/>
      <c r="R274" s="34"/>
      <c r="S274" s="38" t="str">
        <f t="shared" si="4"/>
        <v/>
      </c>
    </row>
    <row r="275" spans="1:19" x14ac:dyDescent="0.25">
      <c r="A275" s="34"/>
      <c r="B275" s="34"/>
      <c r="C275" s="34"/>
      <c r="D275" s="34"/>
      <c r="E275" s="8"/>
      <c r="F275" s="31"/>
      <c r="G275" s="31"/>
      <c r="H275" s="36"/>
      <c r="I275" s="34"/>
      <c r="J275" s="34"/>
      <c r="K275" s="36"/>
      <c r="L275" s="36"/>
      <c r="M275" s="36"/>
      <c r="N275" s="36"/>
      <c r="O275" s="34"/>
      <c r="P275" s="34"/>
      <c r="Q275" s="34"/>
      <c r="R275" s="34"/>
      <c r="S275" s="38" t="str">
        <f t="shared" si="4"/>
        <v/>
      </c>
    </row>
    <row r="276" spans="1:19" x14ac:dyDescent="0.25">
      <c r="A276" s="34"/>
      <c r="B276" s="34"/>
      <c r="C276" s="34"/>
      <c r="D276" s="34"/>
      <c r="E276" s="8"/>
      <c r="F276" s="31"/>
      <c r="G276" s="31"/>
      <c r="H276" s="36"/>
      <c r="I276" s="34"/>
      <c r="J276" s="34"/>
      <c r="K276" s="36"/>
      <c r="L276" s="36"/>
      <c r="M276" s="36"/>
      <c r="N276" s="36"/>
      <c r="O276" s="34"/>
      <c r="P276" s="34"/>
      <c r="Q276" s="34"/>
      <c r="R276" s="34"/>
      <c r="S276" s="38" t="str">
        <f t="shared" si="4"/>
        <v/>
      </c>
    </row>
    <row r="277" spans="1:19" x14ac:dyDescent="0.25">
      <c r="A277" s="34"/>
      <c r="B277" s="34"/>
      <c r="C277" s="34"/>
      <c r="D277" s="34"/>
      <c r="E277" s="8"/>
      <c r="F277" s="31"/>
      <c r="G277" s="31"/>
      <c r="H277" s="36"/>
      <c r="I277" s="34"/>
      <c r="J277" s="34"/>
      <c r="K277" s="36"/>
      <c r="L277" s="36"/>
      <c r="M277" s="36"/>
      <c r="N277" s="36"/>
      <c r="O277" s="34"/>
      <c r="P277" s="34"/>
      <c r="Q277" s="34"/>
      <c r="R277" s="34"/>
      <c r="S277" s="38" t="str">
        <f t="shared" si="4"/>
        <v/>
      </c>
    </row>
    <row r="278" spans="1:19" x14ac:dyDescent="0.25">
      <c r="A278" s="34"/>
      <c r="B278" s="34"/>
      <c r="C278" s="34"/>
      <c r="D278" s="34"/>
      <c r="E278" s="8"/>
      <c r="F278" s="31"/>
      <c r="G278" s="31"/>
      <c r="H278" s="36"/>
      <c r="I278" s="34"/>
      <c r="J278" s="34"/>
      <c r="K278" s="36"/>
      <c r="L278" s="36"/>
      <c r="M278" s="36"/>
      <c r="N278" s="36"/>
      <c r="O278" s="34"/>
      <c r="P278" s="34"/>
      <c r="Q278" s="34"/>
      <c r="R278" s="34"/>
      <c r="S278" s="38" t="str">
        <f t="shared" si="4"/>
        <v/>
      </c>
    </row>
    <row r="279" spans="1:19" x14ac:dyDescent="0.25">
      <c r="A279" s="34"/>
      <c r="B279" s="34"/>
      <c r="C279" s="34"/>
      <c r="D279" s="34"/>
      <c r="E279" s="8"/>
      <c r="F279" s="31"/>
      <c r="G279" s="31"/>
      <c r="H279" s="36"/>
      <c r="I279" s="34"/>
      <c r="J279" s="34"/>
      <c r="K279" s="36"/>
      <c r="L279" s="36"/>
      <c r="M279" s="36"/>
      <c r="N279" s="36"/>
      <c r="O279" s="34"/>
      <c r="P279" s="34"/>
      <c r="Q279" s="34"/>
      <c r="R279" s="34"/>
      <c r="S279" s="38" t="str">
        <f t="shared" si="4"/>
        <v/>
      </c>
    </row>
    <row r="280" spans="1:19" x14ac:dyDescent="0.25">
      <c r="A280" s="34"/>
      <c r="B280" s="34"/>
      <c r="C280" s="34"/>
      <c r="D280" s="34"/>
      <c r="E280" s="8"/>
      <c r="F280" s="31"/>
      <c r="G280" s="31"/>
      <c r="H280" s="36"/>
      <c r="I280" s="34"/>
      <c r="J280" s="34"/>
      <c r="K280" s="36"/>
      <c r="L280" s="36"/>
      <c r="M280" s="36"/>
      <c r="N280" s="36"/>
      <c r="O280" s="34"/>
      <c r="P280" s="34"/>
      <c r="Q280" s="34"/>
      <c r="R280" s="34"/>
      <c r="S280" s="38" t="str">
        <f t="shared" si="4"/>
        <v/>
      </c>
    </row>
    <row r="281" spans="1:19" x14ac:dyDescent="0.25">
      <c r="A281" s="34"/>
      <c r="B281" s="34"/>
      <c r="C281" s="34"/>
      <c r="D281" s="34"/>
      <c r="E281" s="8"/>
      <c r="F281" s="31"/>
      <c r="G281" s="31"/>
      <c r="H281" s="36"/>
      <c r="I281" s="34"/>
      <c r="J281" s="34"/>
      <c r="K281" s="36"/>
      <c r="L281" s="36"/>
      <c r="M281" s="36"/>
      <c r="N281" s="36"/>
      <c r="O281" s="34"/>
      <c r="P281" s="34"/>
      <c r="Q281" s="34"/>
      <c r="R281" s="34"/>
      <c r="S281" s="38" t="str">
        <f t="shared" si="4"/>
        <v/>
      </c>
    </row>
    <row r="282" spans="1:19" x14ac:dyDescent="0.25">
      <c r="A282" s="34"/>
      <c r="B282" s="34"/>
      <c r="C282" s="34"/>
      <c r="D282" s="34"/>
      <c r="E282" s="8"/>
      <c r="F282" s="31"/>
      <c r="G282" s="31"/>
      <c r="H282" s="36"/>
      <c r="I282" s="34"/>
      <c r="J282" s="34"/>
      <c r="K282" s="36"/>
      <c r="L282" s="36"/>
      <c r="M282" s="36"/>
      <c r="N282" s="36"/>
      <c r="O282" s="34"/>
      <c r="P282" s="34"/>
      <c r="Q282" s="34"/>
      <c r="R282" s="34"/>
      <c r="S282" s="38" t="str">
        <f t="shared" si="4"/>
        <v/>
      </c>
    </row>
    <row r="283" spans="1:19" x14ac:dyDescent="0.25">
      <c r="A283" s="34"/>
      <c r="B283" s="34"/>
      <c r="C283" s="34"/>
      <c r="D283" s="34"/>
      <c r="E283" s="8"/>
      <c r="F283" s="31"/>
      <c r="G283" s="31"/>
      <c r="H283" s="36"/>
      <c r="I283" s="34"/>
      <c r="J283" s="34"/>
      <c r="K283" s="36"/>
      <c r="L283" s="36"/>
      <c r="M283" s="36"/>
      <c r="N283" s="36"/>
      <c r="O283" s="34"/>
      <c r="P283" s="34"/>
      <c r="Q283" s="34"/>
      <c r="R283" s="34"/>
      <c r="S283" s="38" t="str">
        <f t="shared" si="4"/>
        <v/>
      </c>
    </row>
    <row r="284" spans="1:19" x14ac:dyDescent="0.25">
      <c r="A284" s="34"/>
      <c r="B284" s="34"/>
      <c r="C284" s="34"/>
      <c r="D284" s="34"/>
      <c r="E284" s="8"/>
      <c r="F284" s="31"/>
      <c r="G284" s="31"/>
      <c r="H284" s="36"/>
      <c r="I284" s="34"/>
      <c r="J284" s="34"/>
      <c r="K284" s="36"/>
      <c r="L284" s="36"/>
      <c r="M284" s="36"/>
      <c r="N284" s="36"/>
      <c r="O284" s="34"/>
      <c r="P284" s="34"/>
      <c r="Q284" s="34"/>
      <c r="R284" s="34"/>
      <c r="S284" s="38" t="str">
        <f t="shared" si="4"/>
        <v/>
      </c>
    </row>
    <row r="285" spans="1:19" x14ac:dyDescent="0.25">
      <c r="A285" s="34"/>
      <c r="B285" s="34"/>
      <c r="C285" s="34"/>
      <c r="D285" s="34"/>
      <c r="E285" s="8"/>
      <c r="F285" s="31"/>
      <c r="G285" s="31"/>
      <c r="H285" s="36"/>
      <c r="I285" s="34"/>
      <c r="J285" s="34"/>
      <c r="K285" s="36"/>
      <c r="L285" s="36"/>
      <c r="M285" s="36"/>
      <c r="N285" s="36"/>
      <c r="O285" s="34"/>
      <c r="P285" s="34"/>
      <c r="Q285" s="34"/>
      <c r="R285" s="34"/>
      <c r="S285" s="38" t="str">
        <f t="shared" si="4"/>
        <v/>
      </c>
    </row>
    <row r="286" spans="1:19" x14ac:dyDescent="0.25">
      <c r="A286" s="34"/>
      <c r="B286" s="34"/>
      <c r="C286" s="34"/>
      <c r="D286" s="34"/>
      <c r="E286" s="8"/>
      <c r="F286" s="31"/>
      <c r="G286" s="31"/>
      <c r="H286" s="36"/>
      <c r="I286" s="34"/>
      <c r="J286" s="34"/>
      <c r="K286" s="36"/>
      <c r="L286" s="36"/>
      <c r="M286" s="36"/>
      <c r="N286" s="36"/>
      <c r="O286" s="34"/>
      <c r="P286" s="34"/>
      <c r="Q286" s="34"/>
      <c r="R286" s="34"/>
      <c r="S286" s="38" t="str">
        <f t="shared" si="4"/>
        <v/>
      </c>
    </row>
    <row r="287" spans="1:19" x14ac:dyDescent="0.25">
      <c r="A287" s="34"/>
      <c r="B287" s="34"/>
      <c r="C287" s="34"/>
      <c r="D287" s="34"/>
      <c r="E287" s="8"/>
      <c r="F287" s="31"/>
      <c r="G287" s="31"/>
      <c r="H287" s="36"/>
      <c r="I287" s="34"/>
      <c r="J287" s="34"/>
      <c r="K287" s="36"/>
      <c r="L287" s="36"/>
      <c r="M287" s="36"/>
      <c r="N287" s="36"/>
      <c r="O287" s="34"/>
      <c r="P287" s="34"/>
      <c r="Q287" s="34"/>
      <c r="R287" s="34"/>
      <c r="S287" s="38" t="str">
        <f t="shared" si="4"/>
        <v/>
      </c>
    </row>
    <row r="288" spans="1:19" x14ac:dyDescent="0.25">
      <c r="A288" s="34"/>
      <c r="B288" s="34"/>
      <c r="C288" s="34"/>
      <c r="D288" s="34"/>
      <c r="E288" s="8"/>
      <c r="F288" s="31"/>
      <c r="G288" s="31"/>
      <c r="H288" s="36"/>
      <c r="I288" s="34"/>
      <c r="J288" s="34"/>
      <c r="K288" s="36"/>
      <c r="L288" s="36"/>
      <c r="M288" s="36"/>
      <c r="N288" s="36"/>
      <c r="O288" s="34"/>
      <c r="P288" s="34"/>
      <c r="Q288" s="34"/>
      <c r="R288" s="34"/>
      <c r="S288" s="38" t="str">
        <f t="shared" si="4"/>
        <v/>
      </c>
    </row>
    <row r="289" spans="1:19" x14ac:dyDescent="0.25">
      <c r="A289" s="34"/>
      <c r="B289" s="34"/>
      <c r="C289" s="34"/>
      <c r="D289" s="34"/>
      <c r="E289" s="8"/>
      <c r="F289" s="31"/>
      <c r="G289" s="31"/>
      <c r="H289" s="36"/>
      <c r="I289" s="34"/>
      <c r="J289" s="34"/>
      <c r="K289" s="36"/>
      <c r="L289" s="36"/>
      <c r="M289" s="36"/>
      <c r="N289" s="36"/>
      <c r="O289" s="34"/>
      <c r="P289" s="34"/>
      <c r="Q289" s="34"/>
      <c r="R289" s="34"/>
      <c r="S289" s="38" t="str">
        <f t="shared" si="4"/>
        <v/>
      </c>
    </row>
    <row r="290" spans="1:19" x14ac:dyDescent="0.25">
      <c r="A290" s="34"/>
      <c r="B290" s="34"/>
      <c r="C290" s="34"/>
      <c r="D290" s="34"/>
      <c r="E290" s="8"/>
      <c r="F290" s="31"/>
      <c r="G290" s="31"/>
      <c r="H290" s="36"/>
      <c r="I290" s="34"/>
      <c r="J290" s="34"/>
      <c r="K290" s="36"/>
      <c r="L290" s="36"/>
      <c r="M290" s="36"/>
      <c r="N290" s="36"/>
      <c r="O290" s="34"/>
      <c r="P290" s="34"/>
      <c r="Q290" s="34"/>
      <c r="R290" s="34"/>
      <c r="S290" s="38" t="str">
        <f t="shared" si="4"/>
        <v/>
      </c>
    </row>
    <row r="291" spans="1:19" x14ac:dyDescent="0.25">
      <c r="A291" s="34"/>
      <c r="B291" s="34"/>
      <c r="C291" s="34"/>
      <c r="D291" s="34"/>
      <c r="E291" s="8"/>
      <c r="F291" s="31"/>
      <c r="G291" s="31"/>
      <c r="H291" s="36"/>
      <c r="I291" s="34"/>
      <c r="J291" s="34"/>
      <c r="K291" s="36"/>
      <c r="L291" s="36"/>
      <c r="M291" s="36"/>
      <c r="N291" s="36"/>
      <c r="O291" s="34"/>
      <c r="P291" s="34"/>
      <c r="Q291" s="34"/>
      <c r="R291" s="34"/>
      <c r="S291" s="38" t="str">
        <f t="shared" si="4"/>
        <v/>
      </c>
    </row>
    <row r="292" spans="1:19" x14ac:dyDescent="0.25">
      <c r="A292" s="34"/>
      <c r="B292" s="34"/>
      <c r="C292" s="34"/>
      <c r="D292" s="34"/>
      <c r="E292" s="8"/>
      <c r="F292" s="31"/>
      <c r="G292" s="31"/>
      <c r="H292" s="36"/>
      <c r="I292" s="34"/>
      <c r="J292" s="34"/>
      <c r="K292" s="36"/>
      <c r="L292" s="36"/>
      <c r="M292" s="36"/>
      <c r="N292" s="36"/>
      <c r="O292" s="34"/>
      <c r="P292" s="34"/>
      <c r="Q292" s="34"/>
      <c r="R292" s="34"/>
      <c r="S292" s="38" t="str">
        <f t="shared" si="4"/>
        <v/>
      </c>
    </row>
    <row r="293" spans="1:19" x14ac:dyDescent="0.25">
      <c r="A293" s="34"/>
      <c r="B293" s="34"/>
      <c r="C293" s="34"/>
      <c r="D293" s="34"/>
      <c r="E293" s="8"/>
      <c r="F293" s="31"/>
      <c r="G293" s="31"/>
      <c r="H293" s="36"/>
      <c r="I293" s="34"/>
      <c r="J293" s="34"/>
      <c r="K293" s="36"/>
      <c r="L293" s="36"/>
      <c r="M293" s="36"/>
      <c r="N293" s="36"/>
      <c r="O293" s="34"/>
      <c r="P293" s="34"/>
      <c r="Q293" s="34"/>
      <c r="R293" s="34"/>
      <c r="S293" s="38" t="str">
        <f t="shared" si="4"/>
        <v/>
      </c>
    </row>
    <row r="294" spans="1:19" x14ac:dyDescent="0.25">
      <c r="A294" s="34"/>
      <c r="B294" s="34"/>
      <c r="C294" s="34"/>
      <c r="D294" s="34"/>
      <c r="E294" s="8"/>
      <c r="F294" s="31"/>
      <c r="G294" s="31"/>
      <c r="H294" s="36"/>
      <c r="I294" s="34"/>
      <c r="J294" s="34"/>
      <c r="K294" s="36"/>
      <c r="L294" s="36"/>
      <c r="M294" s="36"/>
      <c r="N294" s="36"/>
      <c r="O294" s="34"/>
      <c r="P294" s="34"/>
      <c r="Q294" s="34"/>
      <c r="R294" s="34"/>
      <c r="S294" s="38" t="str">
        <f t="shared" si="4"/>
        <v/>
      </c>
    </row>
    <row r="295" spans="1:19" x14ac:dyDescent="0.25">
      <c r="A295" s="34"/>
      <c r="B295" s="34"/>
      <c r="C295" s="34"/>
      <c r="D295" s="34"/>
      <c r="E295" s="8"/>
      <c r="F295" s="31"/>
      <c r="G295" s="31"/>
      <c r="H295" s="36"/>
      <c r="I295" s="34"/>
      <c r="J295" s="34"/>
      <c r="K295" s="36"/>
      <c r="L295" s="36"/>
      <c r="M295" s="36"/>
      <c r="N295" s="36"/>
      <c r="O295" s="34"/>
      <c r="P295" s="34"/>
      <c r="Q295" s="34"/>
      <c r="R295" s="34"/>
      <c r="S295" s="38" t="str">
        <f t="shared" si="4"/>
        <v/>
      </c>
    </row>
    <row r="296" spans="1:19" x14ac:dyDescent="0.25">
      <c r="A296" s="34"/>
      <c r="B296" s="34"/>
      <c r="C296" s="34"/>
      <c r="D296" s="34"/>
      <c r="E296" s="8"/>
      <c r="F296" s="31"/>
      <c r="G296" s="31"/>
      <c r="H296" s="36"/>
      <c r="I296" s="34"/>
      <c r="J296" s="34"/>
      <c r="K296" s="36"/>
      <c r="L296" s="36"/>
      <c r="M296" s="36"/>
      <c r="N296" s="36"/>
      <c r="O296" s="34"/>
      <c r="P296" s="34"/>
      <c r="Q296" s="34"/>
      <c r="R296" s="34"/>
      <c r="S296" s="38" t="str">
        <f t="shared" si="4"/>
        <v/>
      </c>
    </row>
    <row r="297" spans="1:19" x14ac:dyDescent="0.25">
      <c r="A297" s="34"/>
      <c r="B297" s="34"/>
      <c r="C297" s="34"/>
      <c r="D297" s="34"/>
      <c r="E297" s="8"/>
      <c r="F297" s="31"/>
      <c r="G297" s="31"/>
      <c r="H297" s="36"/>
      <c r="I297" s="34"/>
      <c r="J297" s="34"/>
      <c r="K297" s="36"/>
      <c r="L297" s="36"/>
      <c r="M297" s="36"/>
      <c r="N297" s="36"/>
      <c r="O297" s="34"/>
      <c r="P297" s="34"/>
      <c r="Q297" s="34"/>
      <c r="R297" s="34"/>
      <c r="S297" s="38" t="str">
        <f t="shared" si="4"/>
        <v/>
      </c>
    </row>
    <row r="298" spans="1:19" x14ac:dyDescent="0.25">
      <c r="A298" s="34"/>
      <c r="B298" s="34"/>
      <c r="C298" s="34"/>
      <c r="D298" s="34"/>
      <c r="E298" s="8"/>
      <c r="F298" s="31"/>
      <c r="G298" s="31"/>
      <c r="H298" s="36"/>
      <c r="I298" s="34"/>
      <c r="J298" s="34"/>
      <c r="K298" s="36"/>
      <c r="L298" s="36"/>
      <c r="M298" s="36"/>
      <c r="N298" s="36"/>
      <c r="O298" s="34"/>
      <c r="P298" s="34"/>
      <c r="Q298" s="34"/>
      <c r="R298" s="34"/>
      <c r="S298" s="38" t="str">
        <f t="shared" si="4"/>
        <v/>
      </c>
    </row>
    <row r="299" spans="1:19" x14ac:dyDescent="0.25">
      <c r="A299" s="34"/>
      <c r="B299" s="34"/>
      <c r="C299" s="34"/>
      <c r="D299" s="34"/>
      <c r="E299" s="8"/>
      <c r="F299" s="31"/>
      <c r="G299" s="31"/>
      <c r="H299" s="36"/>
      <c r="I299" s="34"/>
      <c r="J299" s="34"/>
      <c r="K299" s="36"/>
      <c r="L299" s="36"/>
      <c r="M299" s="36"/>
      <c r="N299" s="36"/>
      <c r="O299" s="34"/>
      <c r="P299" s="34"/>
      <c r="Q299" s="34"/>
      <c r="R299" s="34"/>
      <c r="S299" s="38" t="str">
        <f t="shared" si="4"/>
        <v/>
      </c>
    </row>
    <row r="300" spans="1:19" x14ac:dyDescent="0.25">
      <c r="A300" s="34"/>
      <c r="B300" s="34"/>
      <c r="C300" s="34"/>
      <c r="D300" s="34"/>
      <c r="E300" s="8"/>
      <c r="F300" s="31"/>
      <c r="G300" s="31"/>
      <c r="H300" s="36"/>
      <c r="I300" s="34"/>
      <c r="J300" s="34"/>
      <c r="K300" s="36"/>
      <c r="L300" s="36"/>
      <c r="M300" s="36"/>
      <c r="N300" s="36"/>
      <c r="O300" s="34"/>
      <c r="P300" s="34"/>
      <c r="Q300" s="34"/>
      <c r="R300" s="34"/>
      <c r="S300" s="38" t="str">
        <f t="shared" si="4"/>
        <v/>
      </c>
    </row>
    <row r="301" spans="1:19" x14ac:dyDescent="0.25">
      <c r="A301" s="34"/>
      <c r="B301" s="34"/>
      <c r="C301" s="34"/>
      <c r="D301" s="34"/>
      <c r="E301" s="8"/>
      <c r="F301" s="31"/>
      <c r="G301" s="31"/>
      <c r="H301" s="36"/>
      <c r="I301" s="34"/>
      <c r="J301" s="34"/>
      <c r="K301" s="36"/>
      <c r="L301" s="36"/>
      <c r="M301" s="36"/>
      <c r="N301" s="36"/>
      <c r="O301" s="34"/>
      <c r="P301" s="34"/>
      <c r="Q301" s="34"/>
      <c r="R301" s="34"/>
      <c r="S301" s="38" t="str">
        <f t="shared" si="4"/>
        <v/>
      </c>
    </row>
    <row r="302" spans="1:19" x14ac:dyDescent="0.25">
      <c r="A302" s="34"/>
      <c r="B302" s="34"/>
      <c r="C302" s="34"/>
      <c r="D302" s="34"/>
      <c r="E302" s="8"/>
      <c r="F302" s="31"/>
      <c r="G302" s="31"/>
      <c r="H302" s="36"/>
      <c r="I302" s="34"/>
      <c r="J302" s="34"/>
      <c r="K302" s="36"/>
      <c r="L302" s="36"/>
      <c r="M302" s="36"/>
      <c r="N302" s="36"/>
      <c r="O302" s="34"/>
      <c r="P302" s="34"/>
      <c r="Q302" s="34"/>
      <c r="R302" s="34"/>
      <c r="S302" s="38" t="str">
        <f t="shared" si="4"/>
        <v/>
      </c>
    </row>
    <row r="303" spans="1:19" x14ac:dyDescent="0.25">
      <c r="A303" s="34"/>
      <c r="B303" s="34"/>
      <c r="C303" s="34"/>
      <c r="D303" s="34"/>
      <c r="E303" s="8"/>
      <c r="F303" s="31"/>
      <c r="G303" s="31"/>
      <c r="H303" s="36"/>
      <c r="I303" s="34"/>
      <c r="J303" s="34"/>
      <c r="K303" s="36"/>
      <c r="L303" s="36"/>
      <c r="M303" s="36"/>
      <c r="N303" s="36"/>
      <c r="O303" s="34"/>
      <c r="P303" s="34"/>
      <c r="Q303" s="34"/>
      <c r="R303" s="34"/>
      <c r="S303" s="38" t="str">
        <f t="shared" si="4"/>
        <v/>
      </c>
    </row>
    <row r="304" spans="1:19" x14ac:dyDescent="0.25">
      <c r="A304" s="34"/>
      <c r="B304" s="34"/>
      <c r="C304" s="34"/>
      <c r="D304" s="34"/>
      <c r="E304" s="8"/>
      <c r="F304" s="31"/>
      <c r="G304" s="31"/>
      <c r="H304" s="36"/>
      <c r="I304" s="34"/>
      <c r="J304" s="34"/>
      <c r="K304" s="36"/>
      <c r="L304" s="36"/>
      <c r="M304" s="36"/>
      <c r="N304" s="36"/>
      <c r="O304" s="34"/>
      <c r="P304" s="34"/>
      <c r="Q304" s="34"/>
      <c r="R304" s="34"/>
      <c r="S304" s="38" t="str">
        <f t="shared" si="4"/>
        <v/>
      </c>
    </row>
    <row r="305" spans="1:19" x14ac:dyDescent="0.25">
      <c r="A305" s="34"/>
      <c r="B305" s="34"/>
      <c r="C305" s="34"/>
      <c r="D305" s="34"/>
      <c r="E305" s="8"/>
      <c r="F305" s="31"/>
      <c r="G305" s="31"/>
      <c r="H305" s="36"/>
      <c r="I305" s="34"/>
      <c r="J305" s="34"/>
      <c r="K305" s="36"/>
      <c r="L305" s="36"/>
      <c r="M305" s="36"/>
      <c r="N305" s="36"/>
      <c r="O305" s="34"/>
      <c r="P305" s="34"/>
      <c r="Q305" s="34"/>
      <c r="R305" s="34"/>
      <c r="S305" s="38" t="str">
        <f t="shared" si="4"/>
        <v/>
      </c>
    </row>
    <row r="306" spans="1:19" x14ac:dyDescent="0.25">
      <c r="A306" s="34"/>
      <c r="B306" s="34"/>
      <c r="C306" s="34"/>
      <c r="D306" s="34"/>
      <c r="E306" s="8"/>
      <c r="F306" s="31"/>
      <c r="G306" s="31"/>
      <c r="H306" s="36"/>
      <c r="I306" s="34"/>
      <c r="J306" s="34"/>
      <c r="K306" s="36"/>
      <c r="L306" s="36"/>
      <c r="M306" s="36"/>
      <c r="N306" s="36"/>
      <c r="O306" s="34"/>
      <c r="P306" s="34"/>
      <c r="Q306" s="34"/>
      <c r="R306" s="34"/>
      <c r="S306" s="38" t="str">
        <f t="shared" si="4"/>
        <v/>
      </c>
    </row>
    <row r="307" spans="1:19" x14ac:dyDescent="0.25">
      <c r="A307" s="34"/>
      <c r="B307" s="34"/>
      <c r="C307" s="34"/>
      <c r="D307" s="34"/>
      <c r="E307" s="8"/>
      <c r="F307" s="31"/>
      <c r="G307" s="31"/>
      <c r="H307" s="36"/>
      <c r="I307" s="34"/>
      <c r="J307" s="34"/>
      <c r="K307" s="36"/>
      <c r="L307" s="36"/>
      <c r="M307" s="36"/>
      <c r="N307" s="36"/>
      <c r="O307" s="34"/>
      <c r="P307" s="34"/>
      <c r="Q307" s="34"/>
      <c r="R307" s="34"/>
      <c r="S307" s="38" t="str">
        <f t="shared" si="4"/>
        <v/>
      </c>
    </row>
    <row r="308" spans="1:19" x14ac:dyDescent="0.25">
      <c r="A308" s="34"/>
      <c r="B308" s="34"/>
      <c r="C308" s="34"/>
      <c r="D308" s="34"/>
      <c r="E308" s="8"/>
      <c r="F308" s="31"/>
      <c r="G308" s="31"/>
      <c r="H308" s="36"/>
      <c r="I308" s="34"/>
      <c r="J308" s="34"/>
      <c r="K308" s="36"/>
      <c r="L308" s="36"/>
      <c r="M308" s="36"/>
      <c r="N308" s="36"/>
      <c r="O308" s="34"/>
      <c r="P308" s="34"/>
      <c r="Q308" s="34"/>
      <c r="R308" s="34"/>
      <c r="S308" s="38" t="str">
        <f t="shared" si="4"/>
        <v/>
      </c>
    </row>
    <row r="309" spans="1:19" x14ac:dyDescent="0.25">
      <c r="A309" s="34"/>
      <c r="B309" s="34"/>
      <c r="C309" s="34"/>
      <c r="D309" s="34"/>
      <c r="E309" s="8"/>
      <c r="F309" s="31"/>
      <c r="G309" s="31"/>
      <c r="H309" s="36"/>
      <c r="I309" s="34"/>
      <c r="J309" s="34"/>
      <c r="K309" s="36"/>
      <c r="L309" s="36"/>
      <c r="M309" s="36"/>
      <c r="N309" s="36"/>
      <c r="O309" s="34"/>
      <c r="P309" s="34"/>
      <c r="Q309" s="34"/>
      <c r="R309" s="34"/>
      <c r="S309" s="38" t="str">
        <f t="shared" si="4"/>
        <v/>
      </c>
    </row>
    <row r="310" spans="1:19" x14ac:dyDescent="0.25">
      <c r="A310" s="34"/>
      <c r="B310" s="34"/>
      <c r="C310" s="34"/>
      <c r="D310" s="34"/>
      <c r="E310" s="8"/>
      <c r="F310" s="31"/>
      <c r="G310" s="31"/>
      <c r="H310" s="36"/>
      <c r="I310" s="34"/>
      <c r="J310" s="34"/>
      <c r="K310" s="36"/>
      <c r="L310" s="36"/>
      <c r="M310" s="36"/>
      <c r="N310" s="36"/>
      <c r="O310" s="34"/>
      <c r="P310" s="34"/>
      <c r="Q310" s="34"/>
      <c r="R310" s="34"/>
      <c r="S310" s="38" t="str">
        <f t="shared" si="4"/>
        <v/>
      </c>
    </row>
    <row r="311" spans="1:19" x14ac:dyDescent="0.25">
      <c r="A311" s="34"/>
      <c r="B311" s="34"/>
      <c r="C311" s="34"/>
      <c r="D311" s="34"/>
      <c r="E311" s="8"/>
      <c r="F311" s="31"/>
      <c r="G311" s="31"/>
      <c r="H311" s="36"/>
      <c r="I311" s="34"/>
      <c r="J311" s="34"/>
      <c r="K311" s="36"/>
      <c r="L311" s="36"/>
      <c r="M311" s="36"/>
      <c r="N311" s="36"/>
      <c r="O311" s="34"/>
      <c r="P311" s="34"/>
      <c r="Q311" s="34"/>
      <c r="R311" s="34"/>
      <c r="S311" s="38" t="str">
        <f t="shared" si="4"/>
        <v/>
      </c>
    </row>
    <row r="312" spans="1:19" x14ac:dyDescent="0.25">
      <c r="A312" s="34"/>
      <c r="B312" s="34"/>
      <c r="C312" s="34"/>
      <c r="D312" s="34"/>
      <c r="E312" s="8"/>
      <c r="F312" s="31"/>
      <c r="G312" s="31"/>
      <c r="H312" s="36"/>
      <c r="I312" s="34"/>
      <c r="J312" s="34"/>
      <c r="K312" s="36"/>
      <c r="L312" s="36"/>
      <c r="M312" s="36"/>
      <c r="N312" s="36"/>
      <c r="O312" s="34"/>
      <c r="P312" s="34"/>
      <c r="Q312" s="34"/>
      <c r="R312" s="34"/>
      <c r="S312" s="38" t="str">
        <f t="shared" si="4"/>
        <v/>
      </c>
    </row>
    <row r="313" spans="1:19" x14ac:dyDescent="0.25">
      <c r="A313" s="34"/>
      <c r="B313" s="34"/>
      <c r="C313" s="34"/>
      <c r="D313" s="34"/>
      <c r="E313" s="8"/>
      <c r="F313" s="31"/>
      <c r="G313" s="31"/>
      <c r="H313" s="36"/>
      <c r="I313" s="34"/>
      <c r="J313" s="34"/>
      <c r="K313" s="36"/>
      <c r="L313" s="36"/>
      <c r="M313" s="36"/>
      <c r="N313" s="36"/>
      <c r="O313" s="34"/>
      <c r="P313" s="34"/>
      <c r="Q313" s="34"/>
      <c r="R313" s="34"/>
      <c r="S313" s="38" t="str">
        <f t="shared" si="4"/>
        <v/>
      </c>
    </row>
    <row r="314" spans="1:19" x14ac:dyDescent="0.25">
      <c r="A314" s="34"/>
      <c r="B314" s="34"/>
      <c r="C314" s="34"/>
      <c r="D314" s="34"/>
      <c r="E314" s="8"/>
      <c r="F314" s="31"/>
      <c r="G314" s="31"/>
      <c r="H314" s="36"/>
      <c r="I314" s="34"/>
      <c r="J314" s="34"/>
      <c r="K314" s="36"/>
      <c r="L314" s="36"/>
      <c r="M314" s="36"/>
      <c r="N314" s="36"/>
      <c r="O314" s="34"/>
      <c r="P314" s="34"/>
      <c r="Q314" s="34"/>
      <c r="R314" s="34"/>
      <c r="S314" s="38" t="str">
        <f t="shared" si="4"/>
        <v/>
      </c>
    </row>
    <row r="315" spans="1:19" x14ac:dyDescent="0.25">
      <c r="A315" s="34"/>
      <c r="B315" s="34"/>
      <c r="C315" s="34"/>
      <c r="D315" s="34"/>
      <c r="E315" s="8"/>
      <c r="F315" s="31"/>
      <c r="G315" s="31"/>
      <c r="H315" s="36"/>
      <c r="I315" s="34"/>
      <c r="J315" s="34"/>
      <c r="K315" s="36"/>
      <c r="L315" s="36"/>
      <c r="M315" s="36"/>
      <c r="N315" s="36"/>
      <c r="O315" s="34"/>
      <c r="P315" s="34"/>
      <c r="Q315" s="34"/>
      <c r="R315" s="34"/>
      <c r="S315" s="38" t="str">
        <f t="shared" si="4"/>
        <v/>
      </c>
    </row>
    <row r="316" spans="1:19" x14ac:dyDescent="0.25">
      <c r="A316" s="34"/>
      <c r="B316" s="34"/>
      <c r="C316" s="34"/>
      <c r="D316" s="34"/>
      <c r="E316" s="8"/>
      <c r="F316" s="31"/>
      <c r="G316" s="31"/>
      <c r="H316" s="36"/>
      <c r="I316" s="34"/>
      <c r="J316" s="34"/>
      <c r="K316" s="36"/>
      <c r="L316" s="36"/>
      <c r="M316" s="36"/>
      <c r="N316" s="36"/>
      <c r="O316" s="34"/>
      <c r="P316" s="34"/>
      <c r="Q316" s="34"/>
      <c r="R316" s="34"/>
      <c r="S316" s="38" t="str">
        <f t="shared" si="4"/>
        <v/>
      </c>
    </row>
    <row r="317" spans="1:19" x14ac:dyDescent="0.25">
      <c r="A317" s="34"/>
      <c r="B317" s="34"/>
      <c r="C317" s="34"/>
      <c r="D317" s="34"/>
      <c r="E317" s="8"/>
      <c r="F317" s="31"/>
      <c r="G317" s="31"/>
      <c r="H317" s="36"/>
      <c r="I317" s="34"/>
      <c r="J317" s="34"/>
      <c r="K317" s="36"/>
      <c r="L317" s="36"/>
      <c r="M317" s="36"/>
      <c r="N317" s="36"/>
      <c r="O317" s="34"/>
      <c r="P317" s="34"/>
      <c r="Q317" s="34"/>
      <c r="R317" s="34"/>
      <c r="S317" s="38" t="str">
        <f t="shared" si="4"/>
        <v/>
      </c>
    </row>
    <row r="318" spans="1:19" x14ac:dyDescent="0.25">
      <c r="A318" s="34"/>
      <c r="B318" s="34"/>
      <c r="C318" s="34"/>
      <c r="D318" s="34"/>
      <c r="E318" s="8"/>
      <c r="F318" s="31"/>
      <c r="G318" s="31"/>
      <c r="H318" s="36"/>
      <c r="I318" s="34"/>
      <c r="J318" s="34"/>
      <c r="K318" s="36"/>
      <c r="L318" s="36"/>
      <c r="M318" s="36"/>
      <c r="N318" s="36"/>
      <c r="O318" s="34"/>
      <c r="P318" s="34"/>
      <c r="Q318" s="34"/>
      <c r="R318" s="34"/>
      <c r="S318" s="38" t="str">
        <f t="shared" si="4"/>
        <v/>
      </c>
    </row>
    <row r="319" spans="1:19" x14ac:dyDescent="0.25">
      <c r="A319" s="34"/>
      <c r="B319" s="34"/>
      <c r="C319" s="34"/>
      <c r="D319" s="34"/>
      <c r="E319" s="8"/>
      <c r="F319" s="31"/>
      <c r="G319" s="31"/>
      <c r="H319" s="36"/>
      <c r="I319" s="34"/>
      <c r="J319" s="34"/>
      <c r="K319" s="36"/>
      <c r="L319" s="36"/>
      <c r="M319" s="36"/>
      <c r="N319" s="36"/>
      <c r="O319" s="34"/>
      <c r="P319" s="34"/>
      <c r="Q319" s="34"/>
      <c r="R319" s="34"/>
      <c r="S319" s="38" t="str">
        <f t="shared" si="4"/>
        <v/>
      </c>
    </row>
    <row r="320" spans="1:19" x14ac:dyDescent="0.25">
      <c r="A320" s="34"/>
      <c r="B320" s="34"/>
      <c r="C320" s="34"/>
      <c r="D320" s="34"/>
      <c r="E320" s="8"/>
      <c r="F320" s="31"/>
      <c r="G320" s="31"/>
      <c r="H320" s="36"/>
      <c r="I320" s="34"/>
      <c r="J320" s="34"/>
      <c r="K320" s="36"/>
      <c r="L320" s="36"/>
      <c r="M320" s="36"/>
      <c r="N320" s="36"/>
      <c r="O320" s="34"/>
      <c r="P320" s="34"/>
      <c r="Q320" s="34"/>
      <c r="R320" s="34"/>
      <c r="S320" s="38" t="str">
        <f t="shared" si="4"/>
        <v/>
      </c>
    </row>
    <row r="321" spans="1:19" x14ac:dyDescent="0.25">
      <c r="A321" s="34"/>
      <c r="B321" s="34"/>
      <c r="C321" s="34"/>
      <c r="D321" s="34"/>
      <c r="E321" s="8"/>
      <c r="F321" s="31"/>
      <c r="G321" s="31"/>
      <c r="H321" s="36"/>
      <c r="I321" s="34"/>
      <c r="J321" s="34"/>
      <c r="K321" s="36"/>
      <c r="L321" s="36"/>
      <c r="M321" s="36"/>
      <c r="N321" s="36"/>
      <c r="O321" s="34"/>
      <c r="P321" s="34"/>
      <c r="Q321" s="34"/>
      <c r="R321" s="34"/>
      <c r="S321" s="38" t="str">
        <f t="shared" si="4"/>
        <v/>
      </c>
    </row>
    <row r="322" spans="1:19" x14ac:dyDescent="0.25">
      <c r="A322" s="34"/>
      <c r="B322" s="34"/>
      <c r="C322" s="34"/>
      <c r="D322" s="34"/>
      <c r="E322" s="8"/>
      <c r="F322" s="31"/>
      <c r="G322" s="31"/>
      <c r="H322" s="36"/>
      <c r="I322" s="34"/>
      <c r="J322" s="34"/>
      <c r="K322" s="36"/>
      <c r="L322" s="36"/>
      <c r="M322" s="36"/>
      <c r="N322" s="36"/>
      <c r="O322" s="34"/>
      <c r="P322" s="34"/>
      <c r="Q322" s="34"/>
      <c r="R322" s="34"/>
      <c r="S322" s="38" t="str">
        <f t="shared" si="4"/>
        <v/>
      </c>
    </row>
    <row r="323" spans="1:19" x14ac:dyDescent="0.25">
      <c r="A323" s="34"/>
      <c r="B323" s="34"/>
      <c r="C323" s="34"/>
      <c r="D323" s="34"/>
      <c r="E323" s="8"/>
      <c r="F323" s="31"/>
      <c r="G323" s="31"/>
      <c r="H323" s="36"/>
      <c r="I323" s="34"/>
      <c r="J323" s="34"/>
      <c r="K323" s="36"/>
      <c r="L323" s="36"/>
      <c r="M323" s="36"/>
      <c r="N323" s="36"/>
      <c r="O323" s="34"/>
      <c r="P323" s="34"/>
      <c r="Q323" s="34"/>
      <c r="R323" s="34"/>
      <c r="S323" s="38" t="str">
        <f t="shared" ref="S323:S355" si="5">IF($A323="","",$A323)</f>
        <v/>
      </c>
    </row>
    <row r="324" spans="1:19" x14ac:dyDescent="0.25">
      <c r="A324" s="34"/>
      <c r="B324" s="34"/>
      <c r="C324" s="34"/>
      <c r="D324" s="34"/>
      <c r="E324" s="8"/>
      <c r="F324" s="31"/>
      <c r="G324" s="31"/>
      <c r="H324" s="36"/>
      <c r="I324" s="34"/>
      <c r="J324" s="34"/>
      <c r="K324" s="36"/>
      <c r="L324" s="36"/>
      <c r="M324" s="36"/>
      <c r="N324" s="36"/>
      <c r="O324" s="34"/>
      <c r="P324" s="34"/>
      <c r="Q324" s="34"/>
      <c r="R324" s="34"/>
      <c r="S324" s="38" t="str">
        <f t="shared" si="5"/>
        <v/>
      </c>
    </row>
    <row r="325" spans="1:19" x14ac:dyDescent="0.25">
      <c r="A325" s="34"/>
      <c r="B325" s="34"/>
      <c r="C325" s="34"/>
      <c r="D325" s="34"/>
      <c r="E325" s="8"/>
      <c r="F325" s="31"/>
      <c r="G325" s="31"/>
      <c r="H325" s="36"/>
      <c r="I325" s="34"/>
      <c r="J325" s="34"/>
      <c r="K325" s="36"/>
      <c r="L325" s="36"/>
      <c r="M325" s="36"/>
      <c r="N325" s="36"/>
      <c r="O325" s="34"/>
      <c r="P325" s="34"/>
      <c r="Q325" s="34"/>
      <c r="R325" s="34"/>
      <c r="S325" s="38" t="str">
        <f t="shared" si="5"/>
        <v/>
      </c>
    </row>
    <row r="326" spans="1:19" x14ac:dyDescent="0.25">
      <c r="A326" s="34"/>
      <c r="B326" s="34"/>
      <c r="C326" s="34"/>
      <c r="D326" s="34"/>
      <c r="E326" s="8"/>
      <c r="F326" s="31"/>
      <c r="G326" s="31"/>
      <c r="H326" s="36"/>
      <c r="I326" s="34"/>
      <c r="J326" s="34"/>
      <c r="K326" s="36"/>
      <c r="L326" s="36"/>
      <c r="M326" s="36"/>
      <c r="N326" s="36"/>
      <c r="O326" s="34"/>
      <c r="P326" s="34"/>
      <c r="Q326" s="34"/>
      <c r="R326" s="34"/>
      <c r="S326" s="38" t="str">
        <f t="shared" si="5"/>
        <v/>
      </c>
    </row>
    <row r="327" spans="1:19" x14ac:dyDescent="0.25">
      <c r="A327" s="34"/>
      <c r="B327" s="34"/>
      <c r="C327" s="34"/>
      <c r="D327" s="34"/>
      <c r="E327" s="8"/>
      <c r="F327" s="31"/>
      <c r="G327" s="31"/>
      <c r="H327" s="36"/>
      <c r="I327" s="34"/>
      <c r="J327" s="34"/>
      <c r="K327" s="36"/>
      <c r="L327" s="36"/>
      <c r="M327" s="36"/>
      <c r="N327" s="36"/>
      <c r="O327" s="34"/>
      <c r="P327" s="34"/>
      <c r="Q327" s="34"/>
      <c r="R327" s="34"/>
      <c r="S327" s="38" t="str">
        <f t="shared" si="5"/>
        <v/>
      </c>
    </row>
    <row r="328" spans="1:19" x14ac:dyDescent="0.25">
      <c r="A328" s="34"/>
      <c r="B328" s="34"/>
      <c r="C328" s="34"/>
      <c r="D328" s="34"/>
      <c r="E328" s="8"/>
      <c r="F328" s="31"/>
      <c r="G328" s="31"/>
      <c r="H328" s="36"/>
      <c r="I328" s="34"/>
      <c r="J328" s="34"/>
      <c r="K328" s="36"/>
      <c r="L328" s="36"/>
      <c r="M328" s="36"/>
      <c r="N328" s="36"/>
      <c r="O328" s="34"/>
      <c r="P328" s="34"/>
      <c r="Q328" s="34"/>
      <c r="R328" s="34"/>
      <c r="S328" s="38" t="str">
        <f t="shared" si="5"/>
        <v/>
      </c>
    </row>
    <row r="329" spans="1:19" x14ac:dyDescent="0.25">
      <c r="A329" s="34"/>
      <c r="B329" s="34"/>
      <c r="C329" s="34"/>
      <c r="D329" s="34"/>
      <c r="E329" s="8"/>
      <c r="F329" s="31"/>
      <c r="G329" s="31"/>
      <c r="H329" s="36"/>
      <c r="I329" s="34"/>
      <c r="J329" s="34"/>
      <c r="K329" s="36"/>
      <c r="L329" s="36"/>
      <c r="M329" s="36"/>
      <c r="N329" s="36"/>
      <c r="O329" s="34"/>
      <c r="P329" s="34"/>
      <c r="Q329" s="34"/>
      <c r="R329" s="34"/>
      <c r="S329" s="38" t="str">
        <f t="shared" si="5"/>
        <v/>
      </c>
    </row>
    <row r="330" spans="1:19" x14ac:dyDescent="0.25">
      <c r="A330" s="34"/>
      <c r="B330" s="34"/>
      <c r="C330" s="34"/>
      <c r="D330" s="34"/>
      <c r="E330" s="8"/>
      <c r="F330" s="31"/>
      <c r="G330" s="31"/>
      <c r="H330" s="36"/>
      <c r="I330" s="34"/>
      <c r="J330" s="34"/>
      <c r="K330" s="36"/>
      <c r="L330" s="36"/>
      <c r="M330" s="36"/>
      <c r="N330" s="36"/>
      <c r="O330" s="34"/>
      <c r="P330" s="34"/>
      <c r="Q330" s="34"/>
      <c r="R330" s="34"/>
      <c r="S330" s="38" t="str">
        <f t="shared" si="5"/>
        <v/>
      </c>
    </row>
    <row r="331" spans="1:19" x14ac:dyDescent="0.25">
      <c r="A331" s="34"/>
      <c r="B331" s="34"/>
      <c r="C331" s="34"/>
      <c r="D331" s="34"/>
      <c r="E331" s="8"/>
      <c r="F331" s="31"/>
      <c r="G331" s="31"/>
      <c r="H331" s="36"/>
      <c r="I331" s="34"/>
      <c r="J331" s="34"/>
      <c r="K331" s="36"/>
      <c r="L331" s="36"/>
      <c r="M331" s="36"/>
      <c r="N331" s="36"/>
      <c r="O331" s="34"/>
      <c r="P331" s="34"/>
      <c r="Q331" s="34"/>
      <c r="R331" s="34"/>
      <c r="S331" s="38" t="str">
        <f t="shared" si="5"/>
        <v/>
      </c>
    </row>
    <row r="332" spans="1:19" x14ac:dyDescent="0.25">
      <c r="A332" s="34"/>
      <c r="B332" s="34"/>
      <c r="C332" s="34"/>
      <c r="D332" s="34"/>
      <c r="E332" s="8"/>
      <c r="F332" s="31"/>
      <c r="G332" s="31"/>
      <c r="H332" s="36"/>
      <c r="I332" s="34"/>
      <c r="J332" s="34"/>
      <c r="K332" s="36"/>
      <c r="L332" s="36"/>
      <c r="M332" s="36"/>
      <c r="N332" s="36"/>
      <c r="O332" s="34"/>
      <c r="P332" s="34"/>
      <c r="Q332" s="34"/>
      <c r="R332" s="34"/>
      <c r="S332" s="38" t="str">
        <f t="shared" si="5"/>
        <v/>
      </c>
    </row>
    <row r="333" spans="1:19" x14ac:dyDescent="0.25">
      <c r="A333" s="34"/>
      <c r="B333" s="34"/>
      <c r="C333" s="34"/>
      <c r="D333" s="34"/>
      <c r="E333" s="8"/>
      <c r="F333" s="31"/>
      <c r="G333" s="31"/>
      <c r="H333" s="36"/>
      <c r="I333" s="34"/>
      <c r="J333" s="34"/>
      <c r="K333" s="36"/>
      <c r="L333" s="36"/>
      <c r="M333" s="36"/>
      <c r="N333" s="36"/>
      <c r="O333" s="34"/>
      <c r="P333" s="34"/>
      <c r="Q333" s="34"/>
      <c r="R333" s="34"/>
      <c r="S333" s="38" t="str">
        <f t="shared" si="5"/>
        <v/>
      </c>
    </row>
    <row r="334" spans="1:19" x14ac:dyDescent="0.25">
      <c r="A334" s="34"/>
      <c r="B334" s="34"/>
      <c r="C334" s="34"/>
      <c r="D334" s="34"/>
      <c r="E334" s="8"/>
      <c r="F334" s="31"/>
      <c r="G334" s="31"/>
      <c r="H334" s="36"/>
      <c r="I334" s="34"/>
      <c r="J334" s="34"/>
      <c r="K334" s="36"/>
      <c r="L334" s="36"/>
      <c r="M334" s="36"/>
      <c r="N334" s="36"/>
      <c r="O334" s="34"/>
      <c r="P334" s="34"/>
      <c r="Q334" s="34"/>
      <c r="R334" s="34"/>
      <c r="S334" s="38" t="str">
        <f t="shared" si="5"/>
        <v/>
      </c>
    </row>
    <row r="335" spans="1:19" x14ac:dyDescent="0.25">
      <c r="A335" s="34"/>
      <c r="B335" s="34"/>
      <c r="C335" s="34"/>
      <c r="D335" s="34"/>
      <c r="E335" s="8"/>
      <c r="F335" s="31"/>
      <c r="G335" s="31"/>
      <c r="H335" s="36"/>
      <c r="I335" s="34"/>
      <c r="J335" s="34"/>
      <c r="K335" s="36"/>
      <c r="L335" s="36"/>
      <c r="M335" s="36"/>
      <c r="N335" s="36"/>
      <c r="O335" s="34"/>
      <c r="P335" s="34"/>
      <c r="Q335" s="34"/>
      <c r="R335" s="34"/>
      <c r="S335" s="38" t="str">
        <f t="shared" si="5"/>
        <v/>
      </c>
    </row>
    <row r="336" spans="1:19" x14ac:dyDescent="0.25">
      <c r="A336" s="34"/>
      <c r="B336" s="34"/>
      <c r="C336" s="34"/>
      <c r="D336" s="34"/>
      <c r="E336" s="8"/>
      <c r="F336" s="31"/>
      <c r="G336" s="31"/>
      <c r="H336" s="36"/>
      <c r="I336" s="34"/>
      <c r="J336" s="34"/>
      <c r="K336" s="36"/>
      <c r="L336" s="36"/>
      <c r="M336" s="36"/>
      <c r="N336" s="36"/>
      <c r="O336" s="34"/>
      <c r="P336" s="34"/>
      <c r="Q336" s="34"/>
      <c r="R336" s="34"/>
      <c r="S336" s="38" t="str">
        <f t="shared" si="5"/>
        <v/>
      </c>
    </row>
    <row r="337" spans="1:19" x14ac:dyDescent="0.25">
      <c r="A337" s="34"/>
      <c r="B337" s="34"/>
      <c r="C337" s="34"/>
      <c r="D337" s="34"/>
      <c r="E337" s="8"/>
      <c r="F337" s="31"/>
      <c r="G337" s="31"/>
      <c r="H337" s="36"/>
      <c r="I337" s="34"/>
      <c r="J337" s="34"/>
      <c r="K337" s="36"/>
      <c r="L337" s="36"/>
      <c r="M337" s="36"/>
      <c r="N337" s="36"/>
      <c r="O337" s="34"/>
      <c r="P337" s="34"/>
      <c r="Q337" s="34"/>
      <c r="R337" s="34"/>
      <c r="S337" s="38" t="str">
        <f t="shared" si="5"/>
        <v/>
      </c>
    </row>
    <row r="338" spans="1:19" x14ac:dyDescent="0.25">
      <c r="A338" s="34"/>
      <c r="B338" s="34"/>
      <c r="C338" s="34"/>
      <c r="D338" s="34"/>
      <c r="E338" s="8"/>
      <c r="F338" s="31"/>
      <c r="G338" s="31"/>
      <c r="H338" s="36"/>
      <c r="I338" s="34"/>
      <c r="J338" s="34"/>
      <c r="K338" s="36"/>
      <c r="L338" s="36"/>
      <c r="M338" s="36"/>
      <c r="N338" s="36"/>
      <c r="O338" s="34"/>
      <c r="P338" s="34"/>
      <c r="Q338" s="34"/>
      <c r="R338" s="34"/>
      <c r="S338" s="38" t="str">
        <f t="shared" si="5"/>
        <v/>
      </c>
    </row>
    <row r="339" spans="1:19" x14ac:dyDescent="0.25">
      <c r="A339" s="34"/>
      <c r="B339" s="34"/>
      <c r="C339" s="34"/>
      <c r="D339" s="34"/>
      <c r="E339" s="8"/>
      <c r="F339" s="31"/>
      <c r="G339" s="31"/>
      <c r="H339" s="36"/>
      <c r="I339" s="34"/>
      <c r="J339" s="34"/>
      <c r="K339" s="36"/>
      <c r="L339" s="36"/>
      <c r="M339" s="36"/>
      <c r="N339" s="36"/>
      <c r="O339" s="34"/>
      <c r="P339" s="34"/>
      <c r="Q339" s="34"/>
      <c r="R339" s="34"/>
      <c r="S339" s="38" t="str">
        <f t="shared" si="5"/>
        <v/>
      </c>
    </row>
    <row r="340" spans="1:19" x14ac:dyDescent="0.25">
      <c r="A340" s="34"/>
      <c r="B340" s="34"/>
      <c r="C340" s="34"/>
      <c r="D340" s="34"/>
      <c r="E340" s="8"/>
      <c r="F340" s="31"/>
      <c r="G340" s="31"/>
      <c r="H340" s="36"/>
      <c r="I340" s="34"/>
      <c r="J340" s="34"/>
      <c r="K340" s="36"/>
      <c r="L340" s="36"/>
      <c r="M340" s="36"/>
      <c r="N340" s="36"/>
      <c r="O340" s="34"/>
      <c r="P340" s="34"/>
      <c r="Q340" s="34"/>
      <c r="R340" s="34"/>
      <c r="S340" s="38" t="str">
        <f t="shared" si="5"/>
        <v/>
      </c>
    </row>
    <row r="341" spans="1:19" x14ac:dyDescent="0.25">
      <c r="A341" s="34"/>
      <c r="B341" s="34"/>
      <c r="C341" s="34"/>
      <c r="D341" s="34"/>
      <c r="E341" s="8"/>
      <c r="F341" s="31"/>
      <c r="G341" s="31"/>
      <c r="H341" s="36"/>
      <c r="I341" s="34"/>
      <c r="J341" s="34"/>
      <c r="K341" s="36"/>
      <c r="L341" s="36"/>
      <c r="M341" s="36"/>
      <c r="N341" s="36"/>
      <c r="O341" s="34"/>
      <c r="P341" s="34"/>
      <c r="Q341" s="34"/>
      <c r="R341" s="34"/>
      <c r="S341" s="38" t="str">
        <f t="shared" si="5"/>
        <v/>
      </c>
    </row>
    <row r="342" spans="1:19" x14ac:dyDescent="0.25">
      <c r="A342" s="34"/>
      <c r="B342" s="34"/>
      <c r="C342" s="34"/>
      <c r="D342" s="34"/>
      <c r="E342" s="8"/>
      <c r="F342" s="31"/>
      <c r="G342" s="31"/>
      <c r="H342" s="36"/>
      <c r="I342" s="34"/>
      <c r="J342" s="34"/>
      <c r="K342" s="36"/>
      <c r="L342" s="36"/>
      <c r="M342" s="36"/>
      <c r="N342" s="36"/>
      <c r="O342" s="34"/>
      <c r="P342" s="34"/>
      <c r="Q342" s="34"/>
      <c r="R342" s="34"/>
      <c r="S342" s="38" t="str">
        <f t="shared" si="5"/>
        <v/>
      </c>
    </row>
    <row r="343" spans="1:19" x14ac:dyDescent="0.25">
      <c r="A343" s="34"/>
      <c r="B343" s="34"/>
      <c r="C343" s="34"/>
      <c r="D343" s="34"/>
      <c r="E343" s="8"/>
      <c r="F343" s="31"/>
      <c r="G343" s="31"/>
      <c r="H343" s="36"/>
      <c r="I343" s="34"/>
      <c r="J343" s="34"/>
      <c r="K343" s="36"/>
      <c r="L343" s="36"/>
      <c r="M343" s="36"/>
      <c r="N343" s="36"/>
      <c r="O343" s="34"/>
      <c r="P343" s="34"/>
      <c r="Q343" s="34"/>
      <c r="R343" s="34"/>
      <c r="S343" s="38" t="str">
        <f t="shared" si="5"/>
        <v/>
      </c>
    </row>
    <row r="344" spans="1:19" x14ac:dyDescent="0.25">
      <c r="A344" s="34"/>
      <c r="B344" s="34"/>
      <c r="C344" s="34"/>
      <c r="D344" s="34"/>
      <c r="E344" s="8"/>
      <c r="F344" s="31"/>
      <c r="G344" s="31"/>
      <c r="H344" s="36"/>
      <c r="I344" s="34"/>
      <c r="J344" s="34"/>
      <c r="K344" s="36"/>
      <c r="L344" s="36"/>
      <c r="M344" s="36"/>
      <c r="N344" s="36"/>
      <c r="O344" s="34"/>
      <c r="P344" s="34"/>
      <c r="Q344" s="34"/>
      <c r="R344" s="34"/>
      <c r="S344" s="38" t="str">
        <f t="shared" si="5"/>
        <v/>
      </c>
    </row>
    <row r="345" spans="1:19" x14ac:dyDescent="0.25">
      <c r="A345" s="34"/>
      <c r="B345" s="34"/>
      <c r="C345" s="34"/>
      <c r="D345" s="34"/>
      <c r="E345" s="8"/>
      <c r="F345" s="31"/>
      <c r="G345" s="31"/>
      <c r="H345" s="36"/>
      <c r="I345" s="34"/>
      <c r="J345" s="34"/>
      <c r="K345" s="36"/>
      <c r="L345" s="36"/>
      <c r="M345" s="36"/>
      <c r="N345" s="36"/>
      <c r="O345" s="34"/>
      <c r="P345" s="34"/>
      <c r="Q345" s="34"/>
      <c r="R345" s="34"/>
      <c r="S345" s="38" t="str">
        <f t="shared" si="5"/>
        <v/>
      </c>
    </row>
    <row r="346" spans="1:19" x14ac:dyDescent="0.25">
      <c r="A346" s="34"/>
      <c r="B346" s="34"/>
      <c r="C346" s="34"/>
      <c r="D346" s="34"/>
      <c r="E346" s="8"/>
      <c r="F346" s="31"/>
      <c r="G346" s="31"/>
      <c r="H346" s="36"/>
      <c r="I346" s="34"/>
      <c r="J346" s="34"/>
      <c r="K346" s="36"/>
      <c r="L346" s="36"/>
      <c r="M346" s="36"/>
      <c r="N346" s="36"/>
      <c r="O346" s="34"/>
      <c r="P346" s="34"/>
      <c r="Q346" s="34"/>
      <c r="R346" s="34"/>
      <c r="S346" s="38" t="str">
        <f t="shared" si="5"/>
        <v/>
      </c>
    </row>
    <row r="347" spans="1:19" x14ac:dyDescent="0.25">
      <c r="A347" s="34"/>
      <c r="B347" s="34"/>
      <c r="C347" s="34"/>
      <c r="D347" s="34"/>
      <c r="E347" s="8"/>
      <c r="F347" s="31"/>
      <c r="G347" s="31"/>
      <c r="H347" s="36"/>
      <c r="I347" s="34"/>
      <c r="J347" s="34"/>
      <c r="K347" s="36"/>
      <c r="L347" s="36"/>
      <c r="M347" s="36"/>
      <c r="N347" s="36"/>
      <c r="O347" s="34"/>
      <c r="P347" s="34"/>
      <c r="Q347" s="34"/>
      <c r="R347" s="34"/>
      <c r="S347" s="38" t="str">
        <f t="shared" si="5"/>
        <v/>
      </c>
    </row>
    <row r="348" spans="1:19" x14ac:dyDescent="0.25">
      <c r="A348" s="34"/>
      <c r="B348" s="34"/>
      <c r="C348" s="34"/>
      <c r="D348" s="34"/>
      <c r="E348" s="8"/>
      <c r="F348" s="31"/>
      <c r="G348" s="31"/>
      <c r="H348" s="36"/>
      <c r="I348" s="34"/>
      <c r="J348" s="34"/>
      <c r="K348" s="36"/>
      <c r="L348" s="36"/>
      <c r="M348" s="36"/>
      <c r="N348" s="36"/>
      <c r="O348" s="34"/>
      <c r="P348" s="34"/>
      <c r="Q348" s="34"/>
      <c r="R348" s="34"/>
      <c r="S348" s="38" t="str">
        <f t="shared" si="5"/>
        <v/>
      </c>
    </row>
    <row r="349" spans="1:19" x14ac:dyDescent="0.25">
      <c r="A349" s="34"/>
      <c r="B349" s="34"/>
      <c r="C349" s="34"/>
      <c r="D349" s="34"/>
      <c r="E349" s="8"/>
      <c r="F349" s="31"/>
      <c r="G349" s="31"/>
      <c r="H349" s="36"/>
      <c r="I349" s="34"/>
      <c r="J349" s="34"/>
      <c r="K349" s="36"/>
      <c r="L349" s="36"/>
      <c r="M349" s="36"/>
      <c r="N349" s="36"/>
      <c r="O349" s="34"/>
      <c r="P349" s="34"/>
      <c r="Q349" s="34"/>
      <c r="R349" s="34"/>
      <c r="S349" s="38" t="str">
        <f t="shared" si="5"/>
        <v/>
      </c>
    </row>
    <row r="350" spans="1:19" x14ac:dyDescent="0.25">
      <c r="A350" s="34"/>
      <c r="B350" s="34"/>
      <c r="C350" s="34"/>
      <c r="D350" s="34"/>
      <c r="E350" s="8"/>
      <c r="F350" s="31"/>
      <c r="G350" s="31"/>
      <c r="H350" s="36"/>
      <c r="I350" s="34"/>
      <c r="J350" s="34"/>
      <c r="K350" s="36"/>
      <c r="L350" s="36"/>
      <c r="M350" s="36"/>
      <c r="N350" s="36"/>
      <c r="O350" s="34"/>
      <c r="P350" s="34"/>
      <c r="Q350" s="34"/>
      <c r="R350" s="34"/>
      <c r="S350" s="38" t="str">
        <f t="shared" si="5"/>
        <v/>
      </c>
    </row>
    <row r="351" spans="1:19" x14ac:dyDescent="0.25">
      <c r="A351" s="34"/>
      <c r="B351" s="34"/>
      <c r="C351" s="34"/>
      <c r="D351" s="34"/>
      <c r="E351" s="8"/>
      <c r="F351" s="31"/>
      <c r="G351" s="31"/>
      <c r="H351" s="36"/>
      <c r="I351" s="34"/>
      <c r="J351" s="34"/>
      <c r="K351" s="36"/>
      <c r="L351" s="36"/>
      <c r="M351" s="36"/>
      <c r="N351" s="36"/>
      <c r="O351" s="34"/>
      <c r="P351" s="34"/>
      <c r="Q351" s="34"/>
      <c r="R351" s="34"/>
      <c r="S351" s="38" t="str">
        <f t="shared" si="5"/>
        <v/>
      </c>
    </row>
    <row r="352" spans="1:19" x14ac:dyDescent="0.25">
      <c r="A352" s="34"/>
      <c r="B352" s="34"/>
      <c r="C352" s="34"/>
      <c r="D352" s="34"/>
      <c r="E352" s="8"/>
      <c r="F352" s="31"/>
      <c r="G352" s="31"/>
      <c r="H352" s="36"/>
      <c r="I352" s="34"/>
      <c r="J352" s="34"/>
      <c r="K352" s="36"/>
      <c r="L352" s="36"/>
      <c r="M352" s="36"/>
      <c r="N352" s="36"/>
      <c r="O352" s="34"/>
      <c r="P352" s="34"/>
      <c r="Q352" s="34"/>
      <c r="R352" s="34"/>
      <c r="S352" s="38" t="str">
        <f t="shared" si="5"/>
        <v/>
      </c>
    </row>
    <row r="353" spans="1:19" x14ac:dyDescent="0.25">
      <c r="A353" s="34"/>
      <c r="B353" s="34"/>
      <c r="C353" s="34"/>
      <c r="D353" s="34"/>
      <c r="E353" s="8"/>
      <c r="F353" s="31"/>
      <c r="G353" s="31"/>
      <c r="H353" s="36"/>
      <c r="I353" s="34"/>
      <c r="J353" s="34"/>
      <c r="K353" s="36"/>
      <c r="L353" s="36"/>
      <c r="M353" s="36"/>
      <c r="N353" s="36"/>
      <c r="O353" s="34"/>
      <c r="P353" s="34"/>
      <c r="Q353" s="34"/>
      <c r="R353" s="34"/>
      <c r="S353" s="38" t="str">
        <f t="shared" si="5"/>
        <v/>
      </c>
    </row>
    <row r="354" spans="1:19" x14ac:dyDescent="0.25">
      <c r="A354" s="34"/>
      <c r="B354" s="34"/>
      <c r="C354" s="34"/>
      <c r="D354" s="34"/>
      <c r="E354" s="8"/>
      <c r="F354" s="31"/>
      <c r="G354" s="31"/>
      <c r="H354" s="36"/>
      <c r="I354" s="34"/>
      <c r="J354" s="34"/>
      <c r="K354" s="36"/>
      <c r="L354" s="36"/>
      <c r="M354" s="36"/>
      <c r="N354" s="36"/>
      <c r="O354" s="34"/>
      <c r="P354" s="34"/>
      <c r="Q354" s="34"/>
      <c r="R354" s="34"/>
      <c r="S354" s="38" t="str">
        <f t="shared" si="5"/>
        <v/>
      </c>
    </row>
    <row r="355" spans="1:19" x14ac:dyDescent="0.25">
      <c r="A355" s="34"/>
      <c r="B355" s="34"/>
      <c r="C355" s="34"/>
      <c r="D355" s="34"/>
      <c r="E355" s="8"/>
      <c r="F355" s="31"/>
      <c r="G355" s="31"/>
      <c r="H355" s="36"/>
      <c r="I355" s="34"/>
      <c r="J355" s="34"/>
      <c r="K355" s="36"/>
      <c r="L355" s="36"/>
      <c r="M355" s="36"/>
      <c r="N355" s="36"/>
      <c r="O355" s="34"/>
      <c r="P355" s="34"/>
      <c r="Q355" s="34"/>
      <c r="R355" s="34"/>
      <c r="S355" s="38" t="str">
        <f t="shared" si="5"/>
        <v/>
      </c>
    </row>
    <row r="356" spans="1:19" x14ac:dyDescent="0.25">
      <c r="A356" s="35"/>
      <c r="B356" s="35"/>
      <c r="C356" s="35"/>
      <c r="D356" s="35"/>
      <c r="E356" s="32"/>
      <c r="F356" s="19"/>
      <c r="G356" s="19"/>
      <c r="H356" s="36"/>
      <c r="I356" s="39"/>
      <c r="J356" s="39"/>
      <c r="K356" s="36"/>
      <c r="L356" s="36"/>
      <c r="M356" s="36"/>
      <c r="N356" s="36"/>
      <c r="O356" s="34"/>
      <c r="P356" s="34"/>
      <c r="Q356" s="34"/>
      <c r="R356" s="34"/>
      <c r="S356" s="21" t="str">
        <f t="shared" ref="S356:S386" si="6">IF($A356="","",$A356)</f>
        <v/>
      </c>
    </row>
    <row r="357" spans="1:19" x14ac:dyDescent="0.25">
      <c r="A357" s="35"/>
      <c r="B357" s="35"/>
      <c r="C357" s="35"/>
      <c r="D357" s="35"/>
      <c r="E357" s="32"/>
      <c r="F357" s="19"/>
      <c r="G357" s="19"/>
      <c r="H357" s="36"/>
      <c r="I357" s="39"/>
      <c r="J357" s="39"/>
      <c r="K357" s="36"/>
      <c r="L357" s="36"/>
      <c r="M357" s="36"/>
      <c r="N357" s="36"/>
      <c r="O357" s="34"/>
      <c r="P357" s="34"/>
      <c r="Q357" s="34"/>
      <c r="R357" s="34"/>
      <c r="S357" s="21" t="str">
        <f t="shared" si="6"/>
        <v/>
      </c>
    </row>
    <row r="358" spans="1:19" x14ac:dyDescent="0.25">
      <c r="A358" s="35"/>
      <c r="B358" s="35"/>
      <c r="C358" s="35"/>
      <c r="D358" s="35"/>
      <c r="E358" s="32"/>
      <c r="F358" s="19"/>
      <c r="G358" s="19"/>
      <c r="H358" s="36"/>
      <c r="I358" s="39"/>
      <c r="J358" s="39"/>
      <c r="K358" s="36"/>
      <c r="L358" s="36"/>
      <c r="M358" s="36"/>
      <c r="N358" s="36"/>
      <c r="O358" s="34"/>
      <c r="P358" s="34"/>
      <c r="Q358" s="34"/>
      <c r="R358" s="34"/>
      <c r="S358" s="21" t="str">
        <f t="shared" si="6"/>
        <v/>
      </c>
    </row>
    <row r="359" spans="1:19" x14ac:dyDescent="0.25">
      <c r="A359" s="35"/>
      <c r="B359" s="35"/>
      <c r="C359" s="35"/>
      <c r="D359" s="35"/>
      <c r="E359" s="32"/>
      <c r="F359" s="19"/>
      <c r="G359" s="19"/>
      <c r="H359" s="36"/>
      <c r="I359" s="39"/>
      <c r="J359" s="39"/>
      <c r="K359" s="36"/>
      <c r="L359" s="36"/>
      <c r="M359" s="36"/>
      <c r="N359" s="36"/>
      <c r="O359" s="34"/>
      <c r="P359" s="34"/>
      <c r="Q359" s="34"/>
      <c r="R359" s="34"/>
      <c r="S359" s="21" t="str">
        <f t="shared" si="6"/>
        <v/>
      </c>
    </row>
    <row r="360" spans="1:19" x14ac:dyDescent="0.25">
      <c r="A360" s="35"/>
      <c r="B360" s="35"/>
      <c r="C360" s="35"/>
      <c r="D360" s="35"/>
      <c r="E360" s="32"/>
      <c r="F360" s="19"/>
      <c r="G360" s="19"/>
      <c r="H360" s="36"/>
      <c r="I360" s="39"/>
      <c r="J360" s="39"/>
      <c r="K360" s="36"/>
      <c r="L360" s="36"/>
      <c r="M360" s="36"/>
      <c r="N360" s="36"/>
      <c r="O360" s="34"/>
      <c r="P360" s="34"/>
      <c r="Q360" s="34"/>
      <c r="R360" s="34"/>
      <c r="S360" s="21" t="str">
        <f t="shared" si="6"/>
        <v/>
      </c>
    </row>
    <row r="361" spans="1:19" x14ac:dyDescent="0.25">
      <c r="A361" s="35"/>
      <c r="B361" s="35"/>
      <c r="C361" s="35"/>
      <c r="D361" s="35"/>
      <c r="E361" s="32"/>
      <c r="F361" s="19"/>
      <c r="G361" s="19"/>
      <c r="H361" s="36"/>
      <c r="I361" s="39"/>
      <c r="J361" s="39"/>
      <c r="K361" s="36"/>
      <c r="L361" s="36"/>
      <c r="M361" s="36"/>
      <c r="N361" s="36"/>
      <c r="O361" s="34"/>
      <c r="P361" s="34"/>
      <c r="Q361" s="34"/>
      <c r="R361" s="34"/>
      <c r="S361" s="21" t="str">
        <f t="shared" si="6"/>
        <v/>
      </c>
    </row>
    <row r="362" spans="1:19" x14ac:dyDescent="0.25">
      <c r="A362" s="35"/>
      <c r="B362" s="35"/>
      <c r="C362" s="35"/>
      <c r="D362" s="35"/>
      <c r="E362" s="32"/>
      <c r="F362" s="19"/>
      <c r="G362" s="19"/>
      <c r="H362" s="36"/>
      <c r="I362" s="39"/>
      <c r="J362" s="39"/>
      <c r="K362" s="36"/>
      <c r="L362" s="36"/>
      <c r="M362" s="36"/>
      <c r="N362" s="36"/>
      <c r="O362" s="34"/>
      <c r="P362" s="34"/>
      <c r="Q362" s="34"/>
      <c r="R362" s="34"/>
      <c r="S362" s="21" t="str">
        <f t="shared" si="6"/>
        <v/>
      </c>
    </row>
    <row r="363" spans="1:19" x14ac:dyDescent="0.25">
      <c r="A363" s="35"/>
      <c r="B363" s="35"/>
      <c r="C363" s="35"/>
      <c r="D363" s="35"/>
      <c r="E363" s="32"/>
      <c r="F363" s="19"/>
      <c r="G363" s="19"/>
      <c r="H363" s="36"/>
      <c r="I363" s="39"/>
      <c r="J363" s="39"/>
      <c r="K363" s="36"/>
      <c r="L363" s="36"/>
      <c r="M363" s="36"/>
      <c r="N363" s="36"/>
      <c r="O363" s="34"/>
      <c r="P363" s="34"/>
      <c r="Q363" s="34"/>
      <c r="R363" s="34"/>
      <c r="S363" s="21" t="str">
        <f t="shared" si="6"/>
        <v/>
      </c>
    </row>
    <row r="364" spans="1:19" x14ac:dyDescent="0.25">
      <c r="A364" s="35"/>
      <c r="B364" s="35"/>
      <c r="C364" s="35"/>
      <c r="D364" s="35"/>
      <c r="E364" s="32"/>
      <c r="F364" s="19"/>
      <c r="G364" s="19"/>
      <c r="H364" s="36"/>
      <c r="I364" s="39"/>
      <c r="J364" s="39"/>
      <c r="K364" s="36"/>
      <c r="L364" s="36"/>
      <c r="M364" s="36"/>
      <c r="N364" s="36"/>
      <c r="O364" s="34"/>
      <c r="P364" s="34"/>
      <c r="Q364" s="34"/>
      <c r="R364" s="34"/>
      <c r="S364" s="21" t="str">
        <f t="shared" si="6"/>
        <v/>
      </c>
    </row>
    <row r="365" spans="1:19" x14ac:dyDescent="0.25">
      <c r="A365" s="35"/>
      <c r="B365" s="35"/>
      <c r="C365" s="35"/>
      <c r="D365" s="35"/>
      <c r="E365" s="32"/>
      <c r="F365" s="19"/>
      <c r="G365" s="19"/>
      <c r="H365" s="36"/>
      <c r="I365" s="39"/>
      <c r="J365" s="39"/>
      <c r="K365" s="36"/>
      <c r="L365" s="36"/>
      <c r="M365" s="36"/>
      <c r="N365" s="36"/>
      <c r="O365" s="34"/>
      <c r="P365" s="34"/>
      <c r="Q365" s="34"/>
      <c r="R365" s="34"/>
      <c r="S365" s="21" t="str">
        <f t="shared" si="6"/>
        <v/>
      </c>
    </row>
    <row r="366" spans="1:19" x14ac:dyDescent="0.25">
      <c r="A366" s="35"/>
      <c r="B366" s="35"/>
      <c r="C366" s="35"/>
      <c r="D366" s="35"/>
      <c r="E366" s="32"/>
      <c r="F366" s="19"/>
      <c r="G366" s="19"/>
      <c r="H366" s="36"/>
      <c r="I366" s="39"/>
      <c r="J366" s="39"/>
      <c r="K366" s="36"/>
      <c r="L366" s="36"/>
      <c r="M366" s="36"/>
      <c r="N366" s="36"/>
      <c r="O366" s="34"/>
      <c r="P366" s="34"/>
      <c r="Q366" s="34"/>
      <c r="R366" s="34"/>
      <c r="S366" s="21" t="str">
        <f t="shared" si="6"/>
        <v/>
      </c>
    </row>
    <row r="367" spans="1:19" x14ac:dyDescent="0.25">
      <c r="A367" s="35"/>
      <c r="B367" s="35"/>
      <c r="C367" s="35"/>
      <c r="D367" s="35"/>
      <c r="E367" s="32"/>
      <c r="F367" s="19"/>
      <c r="G367" s="19"/>
      <c r="H367" s="36"/>
      <c r="I367" s="39"/>
      <c r="J367" s="39"/>
      <c r="K367" s="36"/>
      <c r="L367" s="36"/>
      <c r="M367" s="36"/>
      <c r="N367" s="36"/>
      <c r="O367" s="34"/>
      <c r="P367" s="34"/>
      <c r="Q367" s="34"/>
      <c r="R367" s="34"/>
      <c r="S367" s="21" t="str">
        <f t="shared" si="6"/>
        <v/>
      </c>
    </row>
    <row r="368" spans="1:19" x14ac:dyDescent="0.25">
      <c r="A368" s="35"/>
      <c r="B368" s="35"/>
      <c r="C368" s="35"/>
      <c r="D368" s="35"/>
      <c r="E368" s="32"/>
      <c r="F368" s="19"/>
      <c r="G368" s="19"/>
      <c r="H368" s="36"/>
      <c r="I368" s="39"/>
      <c r="J368" s="39"/>
      <c r="K368" s="36"/>
      <c r="L368" s="36"/>
      <c r="M368" s="36"/>
      <c r="N368" s="36"/>
      <c r="O368" s="34"/>
      <c r="P368" s="34"/>
      <c r="Q368" s="34"/>
      <c r="R368" s="34"/>
      <c r="S368" s="21" t="str">
        <f t="shared" si="6"/>
        <v/>
      </c>
    </row>
    <row r="369" spans="1:19" x14ac:dyDescent="0.25">
      <c r="A369" s="35"/>
      <c r="B369" s="35"/>
      <c r="C369" s="35"/>
      <c r="D369" s="35"/>
      <c r="E369" s="32"/>
      <c r="F369" s="19"/>
      <c r="G369" s="19"/>
      <c r="H369" s="36"/>
      <c r="I369" s="39"/>
      <c r="J369" s="39"/>
      <c r="K369" s="36"/>
      <c r="L369" s="36"/>
      <c r="M369" s="36"/>
      <c r="N369" s="36"/>
      <c r="O369" s="34"/>
      <c r="P369" s="34"/>
      <c r="Q369" s="34"/>
      <c r="R369" s="34"/>
      <c r="S369" s="21" t="str">
        <f t="shared" si="6"/>
        <v/>
      </c>
    </row>
    <row r="370" spans="1:19" x14ac:dyDescent="0.25">
      <c r="A370" s="35"/>
      <c r="B370" s="35"/>
      <c r="C370" s="35"/>
      <c r="D370" s="35"/>
      <c r="E370" s="32"/>
      <c r="F370" s="19"/>
      <c r="G370" s="19"/>
      <c r="H370" s="36"/>
      <c r="I370" s="39"/>
      <c r="J370" s="39"/>
      <c r="K370" s="36"/>
      <c r="L370" s="36"/>
      <c r="M370" s="36"/>
      <c r="N370" s="36"/>
      <c r="O370" s="34"/>
      <c r="P370" s="34"/>
      <c r="Q370" s="34"/>
      <c r="R370" s="34"/>
      <c r="S370" s="21" t="str">
        <f t="shared" si="6"/>
        <v/>
      </c>
    </row>
    <row r="371" spans="1:19" x14ac:dyDescent="0.25">
      <c r="A371" s="35"/>
      <c r="B371" s="35"/>
      <c r="C371" s="35"/>
      <c r="D371" s="35"/>
      <c r="E371" s="32"/>
      <c r="F371" s="19"/>
      <c r="G371" s="19"/>
      <c r="H371" s="36"/>
      <c r="I371" s="39"/>
      <c r="J371" s="39"/>
      <c r="K371" s="36"/>
      <c r="L371" s="36"/>
      <c r="M371" s="36"/>
      <c r="N371" s="36"/>
      <c r="O371" s="34"/>
      <c r="P371" s="34"/>
      <c r="Q371" s="34"/>
      <c r="R371" s="34"/>
      <c r="S371" s="21" t="str">
        <f t="shared" si="6"/>
        <v/>
      </c>
    </row>
    <row r="372" spans="1:19" x14ac:dyDescent="0.25">
      <c r="A372" s="35"/>
      <c r="B372" s="35"/>
      <c r="C372" s="35"/>
      <c r="D372" s="35"/>
      <c r="E372" s="32"/>
      <c r="F372" s="19"/>
      <c r="G372" s="19"/>
      <c r="H372" s="36"/>
      <c r="I372" s="39"/>
      <c r="J372" s="39"/>
      <c r="K372" s="36"/>
      <c r="L372" s="36"/>
      <c r="M372" s="36"/>
      <c r="N372" s="36"/>
      <c r="O372" s="34"/>
      <c r="P372" s="34"/>
      <c r="Q372" s="34"/>
      <c r="R372" s="34"/>
      <c r="S372" s="21" t="str">
        <f t="shared" si="6"/>
        <v/>
      </c>
    </row>
    <row r="373" spans="1:19" x14ac:dyDescent="0.25">
      <c r="A373" s="35"/>
      <c r="B373" s="35"/>
      <c r="C373" s="35"/>
      <c r="D373" s="35"/>
      <c r="E373" s="32"/>
      <c r="F373" s="19"/>
      <c r="G373" s="19"/>
      <c r="H373" s="36"/>
      <c r="I373" s="39"/>
      <c r="J373" s="39"/>
      <c r="K373" s="36"/>
      <c r="L373" s="36"/>
      <c r="M373" s="36"/>
      <c r="N373" s="36"/>
      <c r="O373" s="34"/>
      <c r="P373" s="34"/>
      <c r="Q373" s="34"/>
      <c r="R373" s="34"/>
      <c r="S373" s="21" t="str">
        <f t="shared" si="6"/>
        <v/>
      </c>
    </row>
    <row r="374" spans="1:19" x14ac:dyDescent="0.25">
      <c r="A374" s="35"/>
      <c r="B374" s="35"/>
      <c r="C374" s="35"/>
      <c r="D374" s="35"/>
      <c r="E374" s="32"/>
      <c r="F374" s="19"/>
      <c r="G374" s="19"/>
      <c r="H374" s="36"/>
      <c r="I374" s="39"/>
      <c r="J374" s="39"/>
      <c r="K374" s="36"/>
      <c r="L374" s="36"/>
      <c r="M374" s="36"/>
      <c r="N374" s="36"/>
      <c r="O374" s="34"/>
      <c r="P374" s="34"/>
      <c r="Q374" s="34"/>
      <c r="R374" s="34"/>
      <c r="S374" s="21" t="str">
        <f t="shared" si="6"/>
        <v/>
      </c>
    </row>
    <row r="375" spans="1:19" x14ac:dyDescent="0.25">
      <c r="A375" s="35"/>
      <c r="B375" s="35"/>
      <c r="C375" s="35"/>
      <c r="D375" s="35"/>
      <c r="E375" s="32"/>
      <c r="F375" s="19"/>
      <c r="G375" s="19"/>
      <c r="H375" s="36"/>
      <c r="I375" s="39"/>
      <c r="J375" s="39"/>
      <c r="K375" s="36"/>
      <c r="L375" s="36"/>
      <c r="M375" s="36"/>
      <c r="N375" s="36"/>
      <c r="O375" s="34"/>
      <c r="P375" s="34"/>
      <c r="Q375" s="34"/>
      <c r="R375" s="34"/>
      <c r="S375" s="21" t="str">
        <f t="shared" si="6"/>
        <v/>
      </c>
    </row>
    <row r="376" spans="1:19" x14ac:dyDescent="0.25">
      <c r="A376" s="35"/>
      <c r="B376" s="35"/>
      <c r="C376" s="35"/>
      <c r="D376" s="35"/>
      <c r="E376" s="32"/>
      <c r="F376" s="19"/>
      <c r="G376" s="19"/>
      <c r="H376" s="36"/>
      <c r="I376" s="39"/>
      <c r="J376" s="39"/>
      <c r="K376" s="36"/>
      <c r="L376" s="36"/>
      <c r="M376" s="36"/>
      <c r="N376" s="36"/>
      <c r="O376" s="34"/>
      <c r="P376" s="34"/>
      <c r="Q376" s="34"/>
      <c r="R376" s="34"/>
      <c r="S376" s="21" t="str">
        <f t="shared" si="6"/>
        <v/>
      </c>
    </row>
    <row r="377" spans="1:19" x14ac:dyDescent="0.25">
      <c r="A377" s="35"/>
      <c r="B377" s="35"/>
      <c r="C377" s="35"/>
      <c r="D377" s="35"/>
      <c r="E377" s="32"/>
      <c r="F377" s="19"/>
      <c r="G377" s="19"/>
      <c r="H377" s="36"/>
      <c r="I377" s="39"/>
      <c r="J377" s="39"/>
      <c r="K377" s="36"/>
      <c r="L377" s="36"/>
      <c r="M377" s="36"/>
      <c r="N377" s="36"/>
      <c r="O377" s="34"/>
      <c r="P377" s="34"/>
      <c r="Q377" s="34"/>
      <c r="R377" s="34"/>
      <c r="S377" s="21" t="str">
        <f t="shared" si="6"/>
        <v/>
      </c>
    </row>
    <row r="378" spans="1:19" x14ac:dyDescent="0.25">
      <c r="A378" s="35"/>
      <c r="B378" s="35"/>
      <c r="C378" s="35"/>
      <c r="D378" s="35"/>
      <c r="E378" s="32"/>
      <c r="F378" s="19"/>
      <c r="G378" s="19"/>
      <c r="H378" s="36"/>
      <c r="I378" s="39"/>
      <c r="J378" s="39"/>
      <c r="K378" s="36"/>
      <c r="L378" s="36"/>
      <c r="M378" s="36"/>
      <c r="N378" s="36"/>
      <c r="O378" s="34"/>
      <c r="P378" s="34"/>
      <c r="Q378" s="34"/>
      <c r="R378" s="34"/>
      <c r="S378" s="21" t="str">
        <f t="shared" si="6"/>
        <v/>
      </c>
    </row>
    <row r="379" spans="1:19" x14ac:dyDescent="0.25">
      <c r="A379" s="35"/>
      <c r="B379" s="35"/>
      <c r="C379" s="35"/>
      <c r="D379" s="35"/>
      <c r="E379" s="32"/>
      <c r="F379" s="19"/>
      <c r="G379" s="19"/>
      <c r="H379" s="36"/>
      <c r="K379" s="36"/>
      <c r="L379" s="36"/>
      <c r="M379" s="24"/>
      <c r="N379" s="24"/>
      <c r="S379" s="21" t="str">
        <f t="shared" si="6"/>
        <v/>
      </c>
    </row>
    <row r="380" spans="1:19" x14ac:dyDescent="0.25">
      <c r="A380" s="35"/>
      <c r="B380" s="35"/>
      <c r="C380" s="35"/>
      <c r="D380" s="35"/>
      <c r="E380" s="32"/>
      <c r="F380" s="19"/>
      <c r="G380" s="19"/>
      <c r="H380" s="36"/>
      <c r="K380" s="36"/>
      <c r="L380" s="36"/>
      <c r="M380" s="24"/>
      <c r="N380" s="24"/>
      <c r="S380" s="21" t="str">
        <f t="shared" si="6"/>
        <v/>
      </c>
    </row>
    <row r="381" spans="1:19" x14ac:dyDescent="0.25">
      <c r="A381" s="35"/>
      <c r="B381" s="35"/>
      <c r="C381" s="35"/>
      <c r="D381" s="35"/>
      <c r="E381" s="32"/>
      <c r="F381" s="19"/>
      <c r="G381" s="19"/>
      <c r="H381" s="36"/>
      <c r="K381" s="36"/>
      <c r="L381" s="36"/>
      <c r="M381" s="24"/>
      <c r="N381" s="24"/>
      <c r="S381" s="21" t="str">
        <f t="shared" si="6"/>
        <v/>
      </c>
    </row>
    <row r="382" spans="1:19" x14ac:dyDescent="0.25">
      <c r="A382" s="35"/>
      <c r="B382" s="35"/>
      <c r="C382" s="35"/>
      <c r="D382" s="35"/>
      <c r="E382" s="32"/>
      <c r="F382" s="19"/>
      <c r="G382" s="19"/>
      <c r="H382" s="36"/>
      <c r="K382" s="36"/>
      <c r="L382" s="36"/>
      <c r="M382" s="24"/>
      <c r="N382" s="24"/>
      <c r="S382" s="21" t="str">
        <f t="shared" si="6"/>
        <v/>
      </c>
    </row>
    <row r="383" spans="1:19" x14ac:dyDescent="0.25">
      <c r="A383" s="35"/>
      <c r="B383" s="35"/>
      <c r="C383" s="35"/>
      <c r="D383" s="35"/>
      <c r="E383" s="32"/>
      <c r="F383" s="19"/>
      <c r="G383" s="19"/>
      <c r="H383" s="36"/>
      <c r="K383" s="36"/>
      <c r="L383" s="36"/>
      <c r="M383" s="24"/>
      <c r="N383" s="24"/>
      <c r="S383" s="21" t="str">
        <f t="shared" si="6"/>
        <v/>
      </c>
    </row>
    <row r="384" spans="1:19" x14ac:dyDescent="0.25">
      <c r="A384" s="35"/>
      <c r="B384" s="35"/>
      <c r="C384" s="35"/>
      <c r="D384" s="35"/>
      <c r="E384" s="32"/>
      <c r="F384" s="19"/>
      <c r="G384" s="19"/>
      <c r="H384" s="36"/>
      <c r="K384" s="36"/>
      <c r="L384" s="36"/>
      <c r="M384" s="24"/>
      <c r="N384" s="24"/>
      <c r="S384" s="21" t="str">
        <f t="shared" si="6"/>
        <v/>
      </c>
    </row>
    <row r="385" spans="1:19" x14ac:dyDescent="0.25">
      <c r="A385" s="35"/>
      <c r="B385" s="35"/>
      <c r="C385" s="35"/>
      <c r="D385" s="35"/>
      <c r="E385" s="32"/>
      <c r="F385" s="19"/>
      <c r="G385" s="19"/>
      <c r="H385" s="36"/>
      <c r="K385" s="36"/>
      <c r="L385" s="36"/>
      <c r="M385" s="24"/>
      <c r="N385" s="24"/>
      <c r="S385" s="21" t="str">
        <f t="shared" si="6"/>
        <v/>
      </c>
    </row>
    <row r="386" spans="1:19" x14ac:dyDescent="0.25">
      <c r="A386" s="35"/>
      <c r="B386" s="35"/>
      <c r="C386" s="35"/>
      <c r="D386" s="35"/>
      <c r="E386" s="32"/>
      <c r="F386" s="19"/>
      <c r="G386" s="19"/>
      <c r="H386" s="36"/>
      <c r="K386" s="36"/>
      <c r="L386" s="36"/>
      <c r="M386" s="36"/>
      <c r="N386" s="36"/>
      <c r="S386" s="21" t="str">
        <f t="shared" si="6"/>
        <v/>
      </c>
    </row>
    <row r="387" spans="1:19" x14ac:dyDescent="0.25">
      <c r="A387" s="35"/>
      <c r="B387" s="35"/>
      <c r="C387" s="35"/>
      <c r="D387" s="35"/>
      <c r="E387" s="32"/>
      <c r="F387" s="19"/>
      <c r="G387" s="19"/>
      <c r="H387" s="36"/>
      <c r="K387" s="36"/>
      <c r="L387" s="36"/>
      <c r="M387" s="36"/>
      <c r="N387" s="36"/>
      <c r="S387" s="21" t="str">
        <f t="shared" ref="S387:S450" si="7">IF($A387="","",$A387)</f>
        <v/>
      </c>
    </row>
    <row r="388" spans="1:19" x14ac:dyDescent="0.25">
      <c r="A388" s="35"/>
      <c r="B388" s="35"/>
      <c r="C388" s="35"/>
      <c r="D388" s="35"/>
      <c r="E388" s="32"/>
      <c r="F388" s="19"/>
      <c r="G388" s="19"/>
      <c r="H388" s="36"/>
      <c r="K388" s="36"/>
      <c r="L388" s="36"/>
      <c r="M388" s="36"/>
      <c r="N388" s="36"/>
      <c r="S388" s="21" t="str">
        <f t="shared" si="7"/>
        <v/>
      </c>
    </row>
    <row r="389" spans="1:19" x14ac:dyDescent="0.25">
      <c r="A389" s="35"/>
      <c r="B389" s="35"/>
      <c r="C389" s="35"/>
      <c r="D389" s="35"/>
      <c r="E389" s="32"/>
      <c r="F389" s="19"/>
      <c r="G389" s="19"/>
      <c r="H389" s="36"/>
      <c r="K389" s="24"/>
      <c r="L389" s="24"/>
      <c r="M389" s="24"/>
      <c r="N389" s="24"/>
      <c r="S389" s="21" t="str">
        <f t="shared" si="7"/>
        <v/>
      </c>
    </row>
    <row r="390" spans="1:19" x14ac:dyDescent="0.25">
      <c r="A390" s="35"/>
      <c r="B390" s="35"/>
      <c r="C390" s="35"/>
      <c r="D390" s="35"/>
      <c r="E390" s="32"/>
      <c r="F390" s="19"/>
      <c r="G390" s="19"/>
      <c r="H390" s="36"/>
      <c r="K390" s="24"/>
      <c r="L390" s="24"/>
      <c r="M390" s="24"/>
      <c r="N390" s="24"/>
      <c r="S390" s="21" t="str">
        <f t="shared" si="7"/>
        <v/>
      </c>
    </row>
    <row r="391" spans="1:19" x14ac:dyDescent="0.25">
      <c r="A391" s="35"/>
      <c r="B391" s="35"/>
      <c r="C391" s="35"/>
      <c r="D391" s="35"/>
      <c r="E391" s="32"/>
      <c r="F391" s="19"/>
      <c r="G391" s="19"/>
      <c r="H391" s="36"/>
      <c r="K391" s="24"/>
      <c r="L391" s="24"/>
      <c r="M391" s="24"/>
      <c r="N391" s="24"/>
      <c r="S391" s="21" t="str">
        <f t="shared" si="7"/>
        <v/>
      </c>
    </row>
    <row r="392" spans="1:19" x14ac:dyDescent="0.25">
      <c r="A392" s="35"/>
      <c r="B392" s="35"/>
      <c r="C392" s="35"/>
      <c r="D392" s="35"/>
      <c r="E392" s="32"/>
      <c r="F392" s="19"/>
      <c r="G392" s="19"/>
      <c r="H392" s="36"/>
      <c r="K392" s="24"/>
      <c r="L392" s="24"/>
      <c r="M392" s="24"/>
      <c r="N392" s="24"/>
      <c r="S392" s="21" t="str">
        <f t="shared" si="7"/>
        <v/>
      </c>
    </row>
    <row r="393" spans="1:19" x14ac:dyDescent="0.25">
      <c r="A393" s="35"/>
      <c r="B393" s="35"/>
      <c r="C393" s="35"/>
      <c r="D393" s="35"/>
      <c r="E393" s="32"/>
      <c r="F393" s="19"/>
      <c r="G393" s="19"/>
      <c r="H393" s="36"/>
      <c r="K393" s="24"/>
      <c r="L393" s="24"/>
      <c r="M393" s="24"/>
      <c r="N393" s="24"/>
      <c r="S393" s="21" t="str">
        <f t="shared" si="7"/>
        <v/>
      </c>
    </row>
    <row r="394" spans="1:19" x14ac:dyDescent="0.25">
      <c r="A394" s="35"/>
      <c r="B394" s="35"/>
      <c r="C394" s="35"/>
      <c r="D394" s="35"/>
      <c r="E394" s="32"/>
      <c r="F394" s="19"/>
      <c r="G394" s="19"/>
      <c r="H394" s="36"/>
      <c r="K394" s="24"/>
      <c r="L394" s="24"/>
      <c r="M394" s="24"/>
      <c r="N394" s="24"/>
      <c r="S394" s="21" t="str">
        <f t="shared" si="7"/>
        <v/>
      </c>
    </row>
    <row r="395" spans="1:19" x14ac:dyDescent="0.25">
      <c r="A395" s="35"/>
      <c r="B395" s="35"/>
      <c r="C395" s="35"/>
      <c r="D395" s="35"/>
      <c r="E395" s="32"/>
      <c r="F395" s="19"/>
      <c r="G395" s="19"/>
      <c r="H395" s="36"/>
      <c r="K395" s="24"/>
      <c r="L395" s="24"/>
      <c r="M395" s="24"/>
      <c r="N395" s="24"/>
      <c r="S395" s="21" t="str">
        <f t="shared" si="7"/>
        <v/>
      </c>
    </row>
    <row r="396" spans="1:19" x14ac:dyDescent="0.25">
      <c r="A396" s="35"/>
      <c r="B396" s="35"/>
      <c r="C396" s="35"/>
      <c r="D396" s="35"/>
      <c r="E396" s="32"/>
      <c r="F396" s="19"/>
      <c r="G396" s="19"/>
      <c r="H396" s="36"/>
      <c r="K396" s="24"/>
      <c r="L396" s="24"/>
      <c r="M396" s="24"/>
      <c r="N396" s="24"/>
      <c r="S396" s="21" t="str">
        <f t="shared" si="7"/>
        <v/>
      </c>
    </row>
    <row r="397" spans="1:19" x14ac:dyDescent="0.25">
      <c r="A397" s="35"/>
      <c r="B397" s="35"/>
      <c r="C397" s="35"/>
      <c r="D397" s="35"/>
      <c r="E397" s="32"/>
      <c r="F397" s="19"/>
      <c r="G397" s="19"/>
      <c r="H397" s="36"/>
      <c r="K397" s="24"/>
      <c r="L397" s="24"/>
      <c r="M397" s="24"/>
      <c r="N397" s="24"/>
      <c r="S397" s="21" t="str">
        <f t="shared" si="7"/>
        <v/>
      </c>
    </row>
    <row r="398" spans="1:19" x14ac:dyDescent="0.25">
      <c r="A398" s="35"/>
      <c r="B398" s="35"/>
      <c r="C398" s="35"/>
      <c r="D398" s="35"/>
      <c r="E398" s="32"/>
      <c r="F398" s="19"/>
      <c r="G398" s="19"/>
      <c r="H398" s="36"/>
      <c r="K398" s="24"/>
      <c r="L398" s="24"/>
      <c r="M398" s="24"/>
      <c r="N398" s="24"/>
      <c r="S398" s="21" t="str">
        <f t="shared" si="7"/>
        <v/>
      </c>
    </row>
    <row r="399" spans="1:19" x14ac:dyDescent="0.25">
      <c r="A399" s="35"/>
      <c r="B399" s="35"/>
      <c r="C399" s="35"/>
      <c r="D399" s="35"/>
      <c r="E399" s="32"/>
      <c r="F399" s="19"/>
      <c r="G399" s="19"/>
      <c r="H399" s="36"/>
      <c r="K399" s="24"/>
      <c r="L399" s="24"/>
      <c r="M399" s="24"/>
      <c r="N399" s="24"/>
      <c r="S399" s="21" t="str">
        <f t="shared" si="7"/>
        <v/>
      </c>
    </row>
    <row r="400" spans="1:19" x14ac:dyDescent="0.25">
      <c r="A400" s="35"/>
      <c r="B400" s="35"/>
      <c r="C400" s="35"/>
      <c r="D400" s="35"/>
      <c r="E400" s="32"/>
      <c r="F400" s="19"/>
      <c r="G400" s="19"/>
      <c r="H400" s="36"/>
      <c r="K400" s="24"/>
      <c r="L400" s="24"/>
      <c r="M400" s="24"/>
      <c r="N400" s="24"/>
      <c r="S400" s="21" t="str">
        <f t="shared" si="7"/>
        <v/>
      </c>
    </row>
    <row r="401" spans="1:19" x14ac:dyDescent="0.25">
      <c r="A401" s="35"/>
      <c r="B401" s="35"/>
      <c r="C401" s="35"/>
      <c r="D401" s="35"/>
      <c r="E401" s="32"/>
      <c r="F401" s="19"/>
      <c r="G401" s="19"/>
      <c r="H401" s="36"/>
      <c r="K401" s="24"/>
      <c r="L401" s="24"/>
      <c r="M401" s="24"/>
      <c r="N401" s="24"/>
      <c r="S401" s="21" t="str">
        <f t="shared" si="7"/>
        <v/>
      </c>
    </row>
    <row r="402" spans="1:19" x14ac:dyDescent="0.25">
      <c r="A402" s="35"/>
      <c r="B402" s="35"/>
      <c r="C402" s="35"/>
      <c r="D402" s="35"/>
      <c r="E402" s="32"/>
      <c r="F402" s="19"/>
      <c r="G402" s="19"/>
      <c r="H402" s="36"/>
      <c r="K402" s="24"/>
      <c r="L402" s="24"/>
      <c r="M402" s="24"/>
      <c r="N402" s="24"/>
      <c r="S402" s="21" t="str">
        <f t="shared" si="7"/>
        <v/>
      </c>
    </row>
    <row r="403" spans="1:19" x14ac:dyDescent="0.25">
      <c r="A403" s="35"/>
      <c r="B403" s="35"/>
      <c r="C403" s="35"/>
      <c r="D403" s="35"/>
      <c r="E403" s="32"/>
      <c r="F403" s="19"/>
      <c r="G403" s="19"/>
      <c r="H403" s="36"/>
      <c r="K403" s="24"/>
      <c r="L403" s="24"/>
      <c r="M403" s="24"/>
      <c r="N403" s="24"/>
      <c r="S403" s="21" t="str">
        <f t="shared" si="7"/>
        <v/>
      </c>
    </row>
    <row r="404" spans="1:19" x14ac:dyDescent="0.25">
      <c r="A404" s="35"/>
      <c r="B404" s="35"/>
      <c r="C404" s="35"/>
      <c r="D404" s="35"/>
      <c r="E404" s="32"/>
      <c r="F404" s="19"/>
      <c r="G404" s="19"/>
      <c r="H404" s="36"/>
      <c r="K404" s="24"/>
      <c r="L404" s="24"/>
      <c r="M404" s="24"/>
      <c r="N404" s="24"/>
      <c r="S404" s="21" t="str">
        <f t="shared" si="7"/>
        <v/>
      </c>
    </row>
    <row r="405" spans="1:19" x14ac:dyDescent="0.25">
      <c r="A405" s="35"/>
      <c r="B405" s="35"/>
      <c r="C405" s="35"/>
      <c r="D405" s="35"/>
      <c r="E405" s="32"/>
      <c r="F405" s="19"/>
      <c r="G405" s="19"/>
      <c r="H405" s="36"/>
      <c r="K405" s="24"/>
      <c r="L405" s="24"/>
      <c r="M405" s="24"/>
      <c r="N405" s="24"/>
      <c r="S405" s="21" t="str">
        <f t="shared" si="7"/>
        <v/>
      </c>
    </row>
    <row r="406" spans="1:19" x14ac:dyDescent="0.25">
      <c r="A406" s="35"/>
      <c r="B406" s="35"/>
      <c r="C406" s="35"/>
      <c r="D406" s="35"/>
      <c r="E406" s="32"/>
      <c r="F406" s="19"/>
      <c r="G406" s="19"/>
      <c r="H406" s="36"/>
      <c r="K406" s="24"/>
      <c r="L406" s="24"/>
      <c r="M406" s="24"/>
      <c r="N406" s="24"/>
      <c r="S406" s="21" t="str">
        <f t="shared" si="7"/>
        <v/>
      </c>
    </row>
    <row r="407" spans="1:19" x14ac:dyDescent="0.25">
      <c r="A407" s="35"/>
      <c r="B407" s="35"/>
      <c r="C407" s="35"/>
      <c r="D407" s="35"/>
      <c r="E407" s="32"/>
      <c r="F407" s="19"/>
      <c r="G407" s="19"/>
      <c r="H407" s="36"/>
      <c r="K407" s="24"/>
      <c r="L407" s="24"/>
      <c r="M407" s="24"/>
      <c r="N407" s="24"/>
      <c r="S407" s="21" t="str">
        <f t="shared" si="7"/>
        <v/>
      </c>
    </row>
    <row r="408" spans="1:19" x14ac:dyDescent="0.25">
      <c r="A408" s="35"/>
      <c r="B408" s="35"/>
      <c r="C408" s="35"/>
      <c r="D408" s="35"/>
      <c r="E408" s="32"/>
      <c r="F408" s="19"/>
      <c r="G408" s="19"/>
      <c r="H408" s="36"/>
      <c r="K408" s="24"/>
      <c r="L408" s="24"/>
      <c r="M408" s="24"/>
      <c r="N408" s="24"/>
      <c r="S408" s="21" t="str">
        <f t="shared" si="7"/>
        <v/>
      </c>
    </row>
    <row r="409" spans="1:19" x14ac:dyDescent="0.25">
      <c r="A409" s="35"/>
      <c r="B409" s="35"/>
      <c r="C409" s="35"/>
      <c r="D409" s="35"/>
      <c r="E409" s="32"/>
      <c r="F409" s="19"/>
      <c r="G409" s="19"/>
      <c r="H409" s="36"/>
      <c r="K409" s="24"/>
      <c r="L409" s="24"/>
      <c r="M409" s="24"/>
      <c r="N409" s="24"/>
      <c r="S409" s="21" t="str">
        <f t="shared" si="7"/>
        <v/>
      </c>
    </row>
    <row r="410" spans="1:19" x14ac:dyDescent="0.25">
      <c r="E410" s="23"/>
      <c r="H410" s="36"/>
      <c r="K410" s="24"/>
      <c r="L410" s="24"/>
      <c r="M410" s="24"/>
      <c r="N410" s="24"/>
      <c r="S410" s="21" t="str">
        <f t="shared" si="7"/>
        <v/>
      </c>
    </row>
    <row r="411" spans="1:19" x14ac:dyDescent="0.25">
      <c r="E411" s="23"/>
      <c r="H411" s="36"/>
      <c r="K411" s="24"/>
      <c r="L411" s="24"/>
      <c r="M411" s="24"/>
      <c r="N411" s="24"/>
      <c r="S411" s="21" t="str">
        <f t="shared" si="7"/>
        <v/>
      </c>
    </row>
    <row r="412" spans="1:19" x14ac:dyDescent="0.25">
      <c r="E412" s="23"/>
      <c r="H412" s="36"/>
      <c r="K412" s="24"/>
      <c r="L412" s="24"/>
      <c r="M412" s="24"/>
      <c r="N412" s="24"/>
      <c r="S412" s="21" t="str">
        <f t="shared" si="7"/>
        <v/>
      </c>
    </row>
    <row r="413" spans="1:19" x14ac:dyDescent="0.25">
      <c r="E413" s="23"/>
      <c r="H413" s="36"/>
      <c r="K413" s="24"/>
      <c r="L413" s="24"/>
      <c r="M413" s="24"/>
      <c r="N413" s="24"/>
      <c r="S413" s="21" t="str">
        <f t="shared" si="7"/>
        <v/>
      </c>
    </row>
    <row r="414" spans="1:19" x14ac:dyDescent="0.25">
      <c r="E414" s="23"/>
      <c r="H414" s="36"/>
      <c r="K414" s="24"/>
      <c r="L414" s="24"/>
      <c r="M414" s="24"/>
      <c r="N414" s="24"/>
      <c r="S414" s="21" t="str">
        <f t="shared" si="7"/>
        <v/>
      </c>
    </row>
    <row r="415" spans="1:19" x14ac:dyDescent="0.25">
      <c r="E415" s="23"/>
      <c r="H415" s="36"/>
      <c r="K415" s="24"/>
      <c r="L415" s="24"/>
      <c r="M415" s="24"/>
      <c r="N415" s="24"/>
      <c r="S415" s="21" t="str">
        <f t="shared" si="7"/>
        <v/>
      </c>
    </row>
    <row r="416" spans="1:19" x14ac:dyDescent="0.25">
      <c r="E416" s="23"/>
      <c r="H416" s="36"/>
      <c r="K416" s="24"/>
      <c r="L416" s="24"/>
      <c r="M416" s="24"/>
      <c r="N416" s="24"/>
      <c r="S416" s="21" t="str">
        <f t="shared" si="7"/>
        <v/>
      </c>
    </row>
    <row r="417" spans="5:19" x14ac:dyDescent="0.25">
      <c r="E417" s="23"/>
      <c r="H417" s="36"/>
      <c r="K417" s="24"/>
      <c r="L417" s="24"/>
      <c r="M417" s="24"/>
      <c r="N417" s="24"/>
      <c r="S417" s="21" t="str">
        <f t="shared" si="7"/>
        <v/>
      </c>
    </row>
    <row r="418" spans="5:19" x14ac:dyDescent="0.25">
      <c r="E418" s="23"/>
      <c r="H418" s="36"/>
      <c r="K418" s="24"/>
      <c r="L418" s="24"/>
      <c r="M418" s="24"/>
      <c r="N418" s="24"/>
      <c r="S418" s="21" t="str">
        <f t="shared" si="7"/>
        <v/>
      </c>
    </row>
    <row r="419" spans="5:19" x14ac:dyDescent="0.25">
      <c r="E419" s="23"/>
      <c r="H419" s="36"/>
      <c r="K419" s="24"/>
      <c r="L419" s="24"/>
      <c r="M419" s="24"/>
      <c r="N419" s="24"/>
      <c r="S419" s="21" t="str">
        <f t="shared" si="7"/>
        <v/>
      </c>
    </row>
    <row r="420" spans="5:19" x14ac:dyDescent="0.25">
      <c r="E420" s="23"/>
      <c r="H420" s="36"/>
      <c r="K420" s="24"/>
      <c r="L420" s="24"/>
      <c r="M420" s="24"/>
      <c r="N420" s="24"/>
      <c r="S420" s="21" t="str">
        <f t="shared" si="7"/>
        <v/>
      </c>
    </row>
    <row r="421" spans="5:19" x14ac:dyDescent="0.25">
      <c r="E421" s="23"/>
      <c r="H421" s="36"/>
      <c r="K421" s="24"/>
      <c r="L421" s="24"/>
      <c r="M421" s="24"/>
      <c r="N421" s="24"/>
      <c r="S421" s="21" t="str">
        <f t="shared" si="7"/>
        <v/>
      </c>
    </row>
    <row r="422" spans="5:19" x14ac:dyDescent="0.25">
      <c r="E422" s="23"/>
      <c r="H422" s="36"/>
      <c r="K422" s="24"/>
      <c r="L422" s="24"/>
      <c r="M422" s="24"/>
      <c r="N422" s="24"/>
      <c r="S422" s="21" t="str">
        <f t="shared" si="7"/>
        <v/>
      </c>
    </row>
    <row r="423" spans="5:19" x14ac:dyDescent="0.25">
      <c r="E423" s="23"/>
      <c r="H423" s="36"/>
      <c r="K423" s="24"/>
      <c r="L423" s="24"/>
      <c r="M423" s="24"/>
      <c r="N423" s="24"/>
      <c r="S423" s="21" t="str">
        <f t="shared" si="7"/>
        <v/>
      </c>
    </row>
    <row r="424" spans="5:19" x14ac:dyDescent="0.25">
      <c r="E424" s="23"/>
      <c r="H424" s="36"/>
      <c r="K424" s="24"/>
      <c r="L424" s="24"/>
      <c r="M424" s="24"/>
      <c r="N424" s="24"/>
      <c r="S424" s="21" t="str">
        <f t="shared" si="7"/>
        <v/>
      </c>
    </row>
    <row r="425" spans="5:19" x14ac:dyDescent="0.25">
      <c r="E425" s="23"/>
      <c r="H425" s="36"/>
      <c r="K425" s="24"/>
      <c r="L425" s="24"/>
      <c r="M425" s="24"/>
      <c r="N425" s="24"/>
      <c r="S425" s="21" t="str">
        <f t="shared" si="7"/>
        <v/>
      </c>
    </row>
    <row r="426" spans="5:19" x14ac:dyDescent="0.25">
      <c r="E426" s="23"/>
      <c r="H426" s="36"/>
      <c r="K426" s="24"/>
      <c r="L426" s="24"/>
      <c r="M426" s="24"/>
      <c r="N426" s="24"/>
      <c r="S426" s="21" t="str">
        <f t="shared" si="7"/>
        <v/>
      </c>
    </row>
    <row r="427" spans="5:19" x14ac:dyDescent="0.25">
      <c r="E427" s="23"/>
      <c r="H427" s="36"/>
      <c r="K427" s="24"/>
      <c r="L427" s="24"/>
      <c r="M427" s="24"/>
      <c r="N427" s="24"/>
      <c r="S427" s="21" t="str">
        <f t="shared" si="7"/>
        <v/>
      </c>
    </row>
    <row r="428" spans="5:19" x14ac:dyDescent="0.25">
      <c r="E428" s="23"/>
      <c r="H428" s="36"/>
      <c r="K428" s="24"/>
      <c r="L428" s="24"/>
      <c r="M428" s="24"/>
      <c r="N428" s="24"/>
      <c r="S428" s="21" t="str">
        <f t="shared" si="7"/>
        <v/>
      </c>
    </row>
    <row r="429" spans="5:19" x14ac:dyDescent="0.25">
      <c r="E429" s="23"/>
      <c r="H429" s="36"/>
      <c r="K429" s="24"/>
      <c r="L429" s="24"/>
      <c r="M429" s="24"/>
      <c r="N429" s="24"/>
      <c r="S429" s="21" t="str">
        <f t="shared" si="7"/>
        <v/>
      </c>
    </row>
    <row r="430" spans="5:19" x14ac:dyDescent="0.25">
      <c r="E430" s="23"/>
      <c r="H430" s="36"/>
      <c r="K430" s="24"/>
      <c r="L430" s="24"/>
      <c r="M430" s="24"/>
      <c r="N430" s="24"/>
      <c r="S430" s="21" t="str">
        <f t="shared" si="7"/>
        <v/>
      </c>
    </row>
    <row r="431" spans="5:19" x14ac:dyDescent="0.25">
      <c r="E431" s="23"/>
      <c r="H431" s="36"/>
      <c r="K431" s="24"/>
      <c r="L431" s="24"/>
      <c r="M431" s="24"/>
      <c r="N431" s="24"/>
      <c r="S431" s="21" t="str">
        <f t="shared" si="7"/>
        <v/>
      </c>
    </row>
    <row r="432" spans="5:19" x14ac:dyDescent="0.25">
      <c r="E432" s="23"/>
      <c r="H432" s="36"/>
      <c r="K432" s="24"/>
      <c r="L432" s="24"/>
      <c r="M432" s="24"/>
      <c r="N432" s="24"/>
      <c r="S432" s="21" t="str">
        <f t="shared" si="7"/>
        <v/>
      </c>
    </row>
    <row r="433" spans="5:19" x14ac:dyDescent="0.25">
      <c r="E433" s="23"/>
      <c r="H433" s="36"/>
      <c r="K433" s="24"/>
      <c r="L433" s="24"/>
      <c r="M433" s="24"/>
      <c r="N433" s="24"/>
      <c r="S433" s="21" t="str">
        <f t="shared" si="7"/>
        <v/>
      </c>
    </row>
    <row r="434" spans="5:19" x14ac:dyDescent="0.25">
      <c r="E434" s="23"/>
      <c r="H434" s="36"/>
      <c r="K434" s="24"/>
      <c r="L434" s="24"/>
      <c r="M434" s="24"/>
      <c r="N434" s="24"/>
      <c r="S434" s="21" t="str">
        <f t="shared" si="7"/>
        <v/>
      </c>
    </row>
    <row r="435" spans="5:19" x14ac:dyDescent="0.25">
      <c r="E435" s="23"/>
      <c r="H435" s="36"/>
      <c r="K435" s="24"/>
      <c r="L435" s="24"/>
      <c r="M435" s="24"/>
      <c r="N435" s="24"/>
      <c r="S435" s="21" t="str">
        <f t="shared" si="7"/>
        <v/>
      </c>
    </row>
    <row r="436" spans="5:19" x14ac:dyDescent="0.25">
      <c r="E436" s="23"/>
      <c r="H436" s="36"/>
      <c r="K436" s="24"/>
      <c r="L436" s="24"/>
      <c r="M436" s="24"/>
      <c r="N436" s="24"/>
      <c r="S436" s="21" t="str">
        <f t="shared" si="7"/>
        <v/>
      </c>
    </row>
    <row r="437" spans="5:19" x14ac:dyDescent="0.25">
      <c r="E437" s="23"/>
      <c r="H437" s="36"/>
      <c r="K437" s="24"/>
      <c r="L437" s="24"/>
      <c r="M437" s="24"/>
      <c r="N437" s="24"/>
      <c r="S437" s="21" t="str">
        <f t="shared" si="7"/>
        <v/>
      </c>
    </row>
    <row r="438" spans="5:19" x14ac:dyDescent="0.25">
      <c r="E438" s="23"/>
      <c r="H438" s="36"/>
      <c r="K438" s="24"/>
      <c r="L438" s="24"/>
      <c r="M438" s="24"/>
      <c r="N438" s="24"/>
      <c r="S438" s="21" t="str">
        <f t="shared" si="7"/>
        <v/>
      </c>
    </row>
    <row r="439" spans="5:19" x14ac:dyDescent="0.25">
      <c r="E439" s="23"/>
      <c r="H439" s="36"/>
      <c r="K439" s="24"/>
      <c r="L439" s="24"/>
      <c r="M439" s="24"/>
      <c r="N439" s="24"/>
      <c r="S439" s="21" t="str">
        <f t="shared" si="7"/>
        <v/>
      </c>
    </row>
    <row r="440" spans="5:19" x14ac:dyDescent="0.25">
      <c r="E440" s="23"/>
      <c r="H440" s="36"/>
      <c r="K440" s="24"/>
      <c r="L440" s="24"/>
      <c r="M440" s="24"/>
      <c r="N440" s="24"/>
      <c r="S440" s="21" t="str">
        <f t="shared" si="7"/>
        <v/>
      </c>
    </row>
    <row r="441" spans="5:19" x14ac:dyDescent="0.25">
      <c r="E441" s="23"/>
      <c r="H441" s="36"/>
      <c r="K441" s="24"/>
      <c r="L441" s="24"/>
      <c r="M441" s="24"/>
      <c r="N441" s="24"/>
      <c r="S441" s="21" t="str">
        <f t="shared" si="7"/>
        <v/>
      </c>
    </row>
    <row r="442" spans="5:19" x14ac:dyDescent="0.25">
      <c r="E442" s="23"/>
      <c r="H442" s="36"/>
      <c r="K442" s="24"/>
      <c r="L442" s="24"/>
      <c r="M442" s="24"/>
      <c r="N442" s="24"/>
      <c r="S442" s="21" t="str">
        <f t="shared" si="7"/>
        <v/>
      </c>
    </row>
    <row r="443" spans="5:19" x14ac:dyDescent="0.25">
      <c r="E443" s="23"/>
      <c r="H443" s="36"/>
      <c r="K443" s="24"/>
      <c r="L443" s="24"/>
      <c r="M443" s="24"/>
      <c r="N443" s="24"/>
      <c r="S443" s="21" t="str">
        <f t="shared" si="7"/>
        <v/>
      </c>
    </row>
    <row r="444" spans="5:19" x14ac:dyDescent="0.25">
      <c r="E444" s="23"/>
      <c r="H444" s="36"/>
      <c r="K444" s="24"/>
      <c r="L444" s="24"/>
      <c r="M444" s="24"/>
      <c r="N444" s="24"/>
      <c r="S444" s="21" t="str">
        <f t="shared" si="7"/>
        <v/>
      </c>
    </row>
    <row r="445" spans="5:19" x14ac:dyDescent="0.25">
      <c r="E445" s="23"/>
      <c r="H445" s="36"/>
      <c r="K445" s="24"/>
      <c r="L445" s="24"/>
      <c r="M445" s="24"/>
      <c r="N445" s="24"/>
      <c r="S445" s="21" t="str">
        <f t="shared" si="7"/>
        <v/>
      </c>
    </row>
    <row r="446" spans="5:19" x14ac:dyDescent="0.25">
      <c r="E446" s="23"/>
      <c r="H446" s="36"/>
      <c r="K446" s="24"/>
      <c r="L446" s="24"/>
      <c r="M446" s="24"/>
      <c r="N446" s="24"/>
      <c r="S446" s="21" t="str">
        <f t="shared" si="7"/>
        <v/>
      </c>
    </row>
    <row r="447" spans="5:19" x14ac:dyDescent="0.25">
      <c r="E447" s="23"/>
      <c r="H447" s="36"/>
      <c r="K447" s="24"/>
      <c r="L447" s="24"/>
      <c r="M447" s="24"/>
      <c r="N447" s="24"/>
      <c r="S447" s="21" t="str">
        <f t="shared" si="7"/>
        <v/>
      </c>
    </row>
    <row r="448" spans="5:19" x14ac:dyDescent="0.25">
      <c r="E448" s="23"/>
      <c r="H448" s="36"/>
      <c r="K448" s="24"/>
      <c r="L448" s="24"/>
      <c r="M448" s="24"/>
      <c r="N448" s="24"/>
      <c r="S448" s="21" t="str">
        <f t="shared" si="7"/>
        <v/>
      </c>
    </row>
    <row r="449" spans="5:19" x14ac:dyDescent="0.25">
      <c r="E449" s="23"/>
      <c r="H449" s="36"/>
      <c r="K449" s="24"/>
      <c r="L449" s="24"/>
      <c r="M449" s="24"/>
      <c r="N449" s="24"/>
      <c r="S449" s="21" t="str">
        <f t="shared" si="7"/>
        <v/>
      </c>
    </row>
    <row r="450" spans="5:19" x14ac:dyDescent="0.25">
      <c r="E450" s="23"/>
      <c r="H450" s="36"/>
      <c r="K450" s="24"/>
      <c r="L450" s="24"/>
      <c r="M450" s="24"/>
      <c r="N450" s="24"/>
      <c r="S450" s="21" t="str">
        <f t="shared" si="7"/>
        <v/>
      </c>
    </row>
    <row r="451" spans="5:19" x14ac:dyDescent="0.25">
      <c r="E451" s="23"/>
      <c r="H451" s="36"/>
      <c r="K451" s="24"/>
      <c r="L451" s="24"/>
      <c r="M451" s="24"/>
      <c r="N451" s="24"/>
      <c r="S451" s="21" t="str">
        <f t="shared" ref="S451:S501" si="8">IF($A451="","",$A451)</f>
        <v/>
      </c>
    </row>
    <row r="452" spans="5:19" x14ac:dyDescent="0.25">
      <c r="E452" s="23"/>
      <c r="H452" s="36"/>
      <c r="K452" s="24"/>
      <c r="L452" s="24"/>
      <c r="M452" s="24"/>
      <c r="N452" s="24"/>
      <c r="S452" s="21" t="str">
        <f t="shared" si="8"/>
        <v/>
      </c>
    </row>
    <row r="453" spans="5:19" x14ac:dyDescent="0.25">
      <c r="E453" s="23"/>
      <c r="H453" s="36"/>
      <c r="K453" s="24"/>
      <c r="L453" s="24"/>
      <c r="M453" s="24"/>
      <c r="N453" s="24"/>
      <c r="S453" s="21" t="str">
        <f t="shared" si="8"/>
        <v/>
      </c>
    </row>
    <row r="454" spans="5:19" x14ac:dyDescent="0.25">
      <c r="E454" s="23"/>
      <c r="H454" s="36"/>
      <c r="K454" s="24"/>
      <c r="L454" s="24"/>
      <c r="M454" s="24"/>
      <c r="N454" s="24"/>
      <c r="S454" s="21" t="str">
        <f t="shared" si="8"/>
        <v/>
      </c>
    </row>
    <row r="455" spans="5:19" x14ac:dyDescent="0.25">
      <c r="E455" s="23"/>
      <c r="H455" s="36"/>
      <c r="K455" s="24"/>
      <c r="L455" s="24"/>
      <c r="M455" s="24"/>
      <c r="N455" s="24"/>
      <c r="S455" s="21" t="str">
        <f t="shared" si="8"/>
        <v/>
      </c>
    </row>
    <row r="456" spans="5:19" x14ac:dyDescent="0.25">
      <c r="E456" s="23"/>
      <c r="H456" s="36"/>
      <c r="K456" s="24"/>
      <c r="L456" s="24"/>
      <c r="M456" s="24"/>
      <c r="N456" s="24"/>
      <c r="S456" s="21" t="str">
        <f t="shared" si="8"/>
        <v/>
      </c>
    </row>
    <row r="457" spans="5:19" x14ac:dyDescent="0.25">
      <c r="E457" s="23"/>
      <c r="H457" s="36"/>
      <c r="K457" s="24"/>
      <c r="L457" s="24"/>
      <c r="M457" s="24"/>
      <c r="N457" s="24"/>
      <c r="S457" s="21" t="str">
        <f t="shared" si="8"/>
        <v/>
      </c>
    </row>
    <row r="458" spans="5:19" x14ac:dyDescent="0.25">
      <c r="E458" s="23"/>
      <c r="H458" s="36"/>
      <c r="K458" s="24"/>
      <c r="L458" s="24"/>
      <c r="M458" s="24"/>
      <c r="N458" s="24"/>
      <c r="S458" s="21" t="str">
        <f t="shared" si="8"/>
        <v/>
      </c>
    </row>
    <row r="459" spans="5:19" x14ac:dyDescent="0.25">
      <c r="E459" s="23"/>
      <c r="H459" s="36"/>
      <c r="K459" s="24"/>
      <c r="L459" s="24"/>
      <c r="M459" s="24"/>
      <c r="N459" s="24"/>
      <c r="S459" s="21" t="str">
        <f t="shared" si="8"/>
        <v/>
      </c>
    </row>
    <row r="460" spans="5:19" x14ac:dyDescent="0.25">
      <c r="E460" s="23"/>
      <c r="H460" s="36"/>
      <c r="K460" s="24"/>
      <c r="L460" s="24"/>
      <c r="M460" s="24"/>
      <c r="N460" s="24"/>
      <c r="S460" s="21" t="str">
        <f t="shared" si="8"/>
        <v/>
      </c>
    </row>
    <row r="461" spans="5:19" x14ac:dyDescent="0.25">
      <c r="E461" s="23"/>
      <c r="H461" s="36"/>
      <c r="K461" s="24"/>
      <c r="L461" s="24"/>
      <c r="M461" s="24"/>
      <c r="N461" s="24"/>
      <c r="S461" s="21" t="str">
        <f t="shared" si="8"/>
        <v/>
      </c>
    </row>
    <row r="462" spans="5:19" x14ac:dyDescent="0.25">
      <c r="E462" s="23"/>
      <c r="H462" s="36"/>
      <c r="K462" s="24"/>
      <c r="L462" s="24"/>
      <c r="M462" s="24"/>
      <c r="N462" s="24"/>
      <c r="S462" s="21" t="str">
        <f t="shared" si="8"/>
        <v/>
      </c>
    </row>
    <row r="463" spans="5:19" x14ac:dyDescent="0.25">
      <c r="E463" s="23"/>
      <c r="H463" s="36"/>
      <c r="K463" s="24"/>
      <c r="L463" s="24"/>
      <c r="M463" s="24"/>
      <c r="N463" s="24"/>
      <c r="S463" s="21" t="str">
        <f t="shared" si="8"/>
        <v/>
      </c>
    </row>
    <row r="464" spans="5:19" x14ac:dyDescent="0.25">
      <c r="E464" s="23"/>
      <c r="H464" s="36"/>
      <c r="K464" s="24"/>
      <c r="L464" s="24"/>
      <c r="M464" s="24"/>
      <c r="N464" s="24"/>
      <c r="S464" s="21" t="str">
        <f t="shared" si="8"/>
        <v/>
      </c>
    </row>
    <row r="465" spans="5:19" x14ac:dyDescent="0.25">
      <c r="E465" s="23"/>
      <c r="H465" s="36"/>
      <c r="K465" s="24"/>
      <c r="L465" s="24"/>
      <c r="M465" s="24"/>
      <c r="N465" s="24"/>
      <c r="S465" s="21" t="str">
        <f t="shared" si="8"/>
        <v/>
      </c>
    </row>
    <row r="466" spans="5:19" x14ac:dyDescent="0.25">
      <c r="E466" s="23"/>
      <c r="H466" s="36"/>
      <c r="K466" s="24"/>
      <c r="L466" s="24"/>
      <c r="M466" s="24"/>
      <c r="N466" s="24"/>
      <c r="S466" s="21" t="str">
        <f t="shared" si="8"/>
        <v/>
      </c>
    </row>
    <row r="467" spans="5:19" x14ac:dyDescent="0.25">
      <c r="E467" s="23"/>
      <c r="H467" s="36"/>
      <c r="K467" s="24"/>
      <c r="L467" s="24"/>
      <c r="M467" s="24"/>
      <c r="N467" s="24"/>
      <c r="S467" s="21" t="str">
        <f t="shared" si="8"/>
        <v/>
      </c>
    </row>
    <row r="468" spans="5:19" x14ac:dyDescent="0.25">
      <c r="E468" s="23"/>
      <c r="H468" s="36"/>
      <c r="K468" s="24"/>
      <c r="L468" s="24"/>
      <c r="M468" s="24"/>
      <c r="N468" s="24"/>
      <c r="S468" s="21" t="str">
        <f t="shared" si="8"/>
        <v/>
      </c>
    </row>
    <row r="469" spans="5:19" x14ac:dyDescent="0.25">
      <c r="E469" s="23"/>
      <c r="H469" s="36"/>
      <c r="K469" s="24"/>
      <c r="L469" s="24"/>
      <c r="M469" s="24"/>
      <c r="N469" s="24"/>
      <c r="S469" s="21" t="str">
        <f t="shared" si="8"/>
        <v/>
      </c>
    </row>
    <row r="470" spans="5:19" x14ac:dyDescent="0.25">
      <c r="E470" s="23"/>
      <c r="H470" s="36"/>
      <c r="K470" s="24"/>
      <c r="L470" s="24"/>
      <c r="M470" s="24"/>
      <c r="N470" s="24"/>
      <c r="S470" s="21" t="str">
        <f t="shared" si="8"/>
        <v/>
      </c>
    </row>
    <row r="471" spans="5:19" x14ac:dyDescent="0.25">
      <c r="E471" s="23"/>
      <c r="H471" s="36"/>
      <c r="K471" s="24"/>
      <c r="L471" s="24"/>
      <c r="M471" s="24"/>
      <c r="N471" s="24"/>
      <c r="S471" s="21" t="str">
        <f t="shared" si="8"/>
        <v/>
      </c>
    </row>
    <row r="472" spans="5:19" x14ac:dyDescent="0.25">
      <c r="E472" s="23"/>
      <c r="H472" s="36"/>
      <c r="K472" s="24"/>
      <c r="L472" s="24"/>
      <c r="M472" s="24"/>
      <c r="N472" s="24"/>
      <c r="S472" s="21" t="str">
        <f t="shared" si="8"/>
        <v/>
      </c>
    </row>
    <row r="473" spans="5:19" x14ac:dyDescent="0.25">
      <c r="E473" s="23"/>
      <c r="H473" s="36"/>
      <c r="K473" s="24"/>
      <c r="L473" s="24"/>
      <c r="M473" s="24"/>
      <c r="N473" s="24"/>
      <c r="S473" s="21" t="str">
        <f t="shared" si="8"/>
        <v/>
      </c>
    </row>
    <row r="474" spans="5:19" x14ac:dyDescent="0.25">
      <c r="E474" s="23"/>
      <c r="H474" s="36"/>
      <c r="K474" s="24"/>
      <c r="L474" s="24"/>
      <c r="M474" s="24"/>
      <c r="N474" s="24"/>
      <c r="S474" s="21" t="str">
        <f t="shared" si="8"/>
        <v/>
      </c>
    </row>
    <row r="475" spans="5:19" x14ac:dyDescent="0.25">
      <c r="E475" s="23"/>
      <c r="H475" s="36"/>
      <c r="K475" s="24"/>
      <c r="L475" s="24"/>
      <c r="M475" s="24"/>
      <c r="N475" s="24"/>
      <c r="S475" s="21" t="str">
        <f t="shared" si="8"/>
        <v/>
      </c>
    </row>
    <row r="476" spans="5:19" x14ac:dyDescent="0.25">
      <c r="E476" s="23"/>
      <c r="H476" s="36"/>
      <c r="K476" s="24"/>
      <c r="L476" s="24"/>
      <c r="M476" s="24"/>
      <c r="N476" s="24"/>
      <c r="S476" s="21" t="str">
        <f t="shared" si="8"/>
        <v/>
      </c>
    </row>
    <row r="477" spans="5:19" x14ac:dyDescent="0.25">
      <c r="E477" s="23"/>
      <c r="H477" s="36"/>
      <c r="K477" s="24"/>
      <c r="L477" s="24"/>
      <c r="M477" s="24"/>
      <c r="N477" s="24"/>
      <c r="S477" s="21" t="str">
        <f t="shared" si="8"/>
        <v/>
      </c>
    </row>
    <row r="478" spans="5:19" x14ac:dyDescent="0.25">
      <c r="E478" s="23"/>
      <c r="H478" s="36"/>
      <c r="K478" s="24"/>
      <c r="L478" s="24"/>
      <c r="M478" s="24"/>
      <c r="N478" s="24"/>
      <c r="S478" s="21" t="str">
        <f t="shared" si="8"/>
        <v/>
      </c>
    </row>
    <row r="479" spans="5:19" x14ac:dyDescent="0.25">
      <c r="E479" s="23"/>
      <c r="H479" s="36"/>
      <c r="K479" s="24"/>
      <c r="L479" s="24"/>
      <c r="M479" s="24"/>
      <c r="N479" s="24"/>
      <c r="S479" s="21" t="str">
        <f t="shared" si="8"/>
        <v/>
      </c>
    </row>
    <row r="480" spans="5:19" x14ac:dyDescent="0.25">
      <c r="E480" s="23"/>
      <c r="H480" s="36"/>
      <c r="K480" s="24"/>
      <c r="L480" s="24"/>
      <c r="M480" s="24"/>
      <c r="N480" s="24"/>
      <c r="S480" s="21" t="str">
        <f t="shared" si="8"/>
        <v/>
      </c>
    </row>
    <row r="481" spans="5:19" x14ac:dyDescent="0.25">
      <c r="E481" s="23"/>
      <c r="H481" s="36"/>
      <c r="K481" s="24"/>
      <c r="L481" s="24"/>
      <c r="M481" s="24"/>
      <c r="N481" s="24"/>
      <c r="S481" s="21" t="str">
        <f t="shared" si="8"/>
        <v/>
      </c>
    </row>
    <row r="482" spans="5:19" x14ac:dyDescent="0.25">
      <c r="E482" s="23"/>
      <c r="H482" s="36"/>
      <c r="K482" s="24"/>
      <c r="L482" s="24"/>
      <c r="M482" s="24"/>
      <c r="N482" s="24"/>
      <c r="S482" s="21" t="str">
        <f t="shared" si="8"/>
        <v/>
      </c>
    </row>
    <row r="483" spans="5:19" x14ac:dyDescent="0.25">
      <c r="E483" s="23"/>
      <c r="H483" s="36"/>
      <c r="K483" s="24"/>
      <c r="L483" s="24"/>
      <c r="M483" s="24"/>
      <c r="N483" s="24"/>
      <c r="S483" s="21" t="str">
        <f t="shared" si="8"/>
        <v/>
      </c>
    </row>
    <row r="484" spans="5:19" x14ac:dyDescent="0.25">
      <c r="E484" s="23"/>
      <c r="H484" s="36"/>
      <c r="K484" s="24"/>
      <c r="L484" s="24"/>
      <c r="M484" s="24"/>
      <c r="N484" s="24"/>
      <c r="S484" s="21" t="str">
        <f t="shared" si="8"/>
        <v/>
      </c>
    </row>
    <row r="485" spans="5:19" x14ac:dyDescent="0.25">
      <c r="E485" s="23"/>
      <c r="H485" s="36"/>
      <c r="K485" s="24"/>
      <c r="L485" s="24"/>
      <c r="M485" s="24"/>
      <c r="N485" s="24"/>
      <c r="S485" s="21" t="str">
        <f t="shared" si="8"/>
        <v/>
      </c>
    </row>
    <row r="486" spans="5:19" x14ac:dyDescent="0.25">
      <c r="E486" s="23"/>
      <c r="H486" s="36"/>
      <c r="K486" s="24"/>
      <c r="L486" s="24"/>
      <c r="M486" s="24"/>
      <c r="N486" s="24"/>
      <c r="S486" s="21" t="str">
        <f t="shared" si="8"/>
        <v/>
      </c>
    </row>
    <row r="487" spans="5:19" x14ac:dyDescent="0.25">
      <c r="E487" s="23"/>
      <c r="H487" s="36"/>
      <c r="K487" s="24"/>
      <c r="L487" s="24"/>
      <c r="M487" s="24"/>
      <c r="N487" s="24"/>
      <c r="S487" s="21" t="str">
        <f t="shared" si="8"/>
        <v/>
      </c>
    </row>
    <row r="488" spans="5:19" x14ac:dyDescent="0.25">
      <c r="E488" s="23"/>
      <c r="H488" s="36"/>
      <c r="K488" s="24"/>
      <c r="L488" s="24"/>
      <c r="M488" s="24"/>
      <c r="N488" s="24"/>
      <c r="S488" s="21" t="str">
        <f t="shared" si="8"/>
        <v/>
      </c>
    </row>
    <row r="489" spans="5:19" x14ac:dyDescent="0.25">
      <c r="E489" s="23"/>
      <c r="H489" s="36"/>
      <c r="K489" s="24"/>
      <c r="L489" s="24"/>
      <c r="M489" s="24"/>
      <c r="N489" s="24"/>
      <c r="S489" s="21" t="str">
        <f t="shared" si="8"/>
        <v/>
      </c>
    </row>
    <row r="490" spans="5:19" x14ac:dyDescent="0.25">
      <c r="E490" s="23"/>
      <c r="H490" s="36"/>
      <c r="K490" s="24"/>
      <c r="L490" s="24"/>
      <c r="M490" s="24"/>
      <c r="N490" s="24"/>
      <c r="S490" s="21" t="str">
        <f t="shared" si="8"/>
        <v/>
      </c>
    </row>
    <row r="491" spans="5:19" x14ac:dyDescent="0.25">
      <c r="E491" s="23"/>
      <c r="H491" s="36"/>
      <c r="K491" s="24"/>
      <c r="L491" s="24"/>
      <c r="M491" s="24"/>
      <c r="N491" s="24"/>
      <c r="S491" s="21" t="str">
        <f t="shared" si="8"/>
        <v/>
      </c>
    </row>
    <row r="492" spans="5:19" x14ac:dyDescent="0.25">
      <c r="E492" s="23"/>
      <c r="H492" s="36"/>
      <c r="K492" s="24"/>
      <c r="L492" s="24"/>
      <c r="M492" s="24"/>
      <c r="N492" s="24"/>
      <c r="S492" s="21" t="str">
        <f t="shared" si="8"/>
        <v/>
      </c>
    </row>
    <row r="493" spans="5:19" x14ac:dyDescent="0.25">
      <c r="E493" s="23"/>
      <c r="H493" s="36"/>
      <c r="K493" s="24"/>
      <c r="L493" s="24"/>
      <c r="M493" s="24"/>
      <c r="N493" s="24"/>
      <c r="S493" s="21" t="str">
        <f t="shared" si="8"/>
        <v/>
      </c>
    </row>
    <row r="494" spans="5:19" x14ac:dyDescent="0.25">
      <c r="E494" s="23"/>
      <c r="H494" s="36"/>
      <c r="K494" s="24"/>
      <c r="L494" s="24"/>
      <c r="M494" s="24"/>
      <c r="N494" s="24"/>
      <c r="S494" s="21" t="str">
        <f t="shared" si="8"/>
        <v/>
      </c>
    </row>
    <row r="495" spans="5:19" x14ac:dyDescent="0.25">
      <c r="E495" s="23"/>
      <c r="H495" s="36"/>
      <c r="K495" s="24"/>
      <c r="L495" s="24"/>
      <c r="M495" s="24"/>
      <c r="N495" s="24"/>
      <c r="S495" s="21" t="str">
        <f t="shared" si="8"/>
        <v/>
      </c>
    </row>
    <row r="496" spans="5:19" x14ac:dyDescent="0.25">
      <c r="E496" s="23"/>
      <c r="H496" s="36"/>
      <c r="K496" s="24"/>
      <c r="L496" s="24"/>
      <c r="M496" s="24"/>
      <c r="N496" s="24"/>
      <c r="S496" s="21" t="str">
        <f t="shared" si="8"/>
        <v/>
      </c>
    </row>
    <row r="497" spans="5:19" x14ac:dyDescent="0.25">
      <c r="E497" s="23"/>
      <c r="H497" s="36"/>
      <c r="K497" s="24"/>
      <c r="L497" s="24"/>
      <c r="M497" s="24"/>
      <c r="N497" s="24"/>
      <c r="S497" s="21" t="str">
        <f t="shared" si="8"/>
        <v/>
      </c>
    </row>
    <row r="498" spans="5:19" x14ac:dyDescent="0.25">
      <c r="E498" s="23"/>
      <c r="H498" s="36"/>
      <c r="K498" s="24"/>
      <c r="L498" s="24"/>
      <c r="M498" s="24"/>
      <c r="N498" s="24"/>
      <c r="S498" s="21" t="str">
        <f t="shared" si="8"/>
        <v/>
      </c>
    </row>
    <row r="499" spans="5:19" x14ac:dyDescent="0.25">
      <c r="E499" s="23"/>
      <c r="H499" s="36"/>
      <c r="K499" s="24"/>
      <c r="L499" s="24"/>
      <c r="M499" s="24"/>
      <c r="N499" s="24"/>
      <c r="S499" s="21" t="str">
        <f t="shared" si="8"/>
        <v/>
      </c>
    </row>
    <row r="500" spans="5:19" x14ac:dyDescent="0.25">
      <c r="E500" s="23"/>
      <c r="H500" s="36"/>
      <c r="K500" s="24"/>
      <c r="L500" s="24"/>
      <c r="M500" s="24"/>
      <c r="N500" s="24"/>
      <c r="S500" s="21" t="str">
        <f t="shared" si="8"/>
        <v/>
      </c>
    </row>
    <row r="501" spans="5:19" x14ac:dyDescent="0.25">
      <c r="E501" s="23"/>
      <c r="H501" s="36"/>
      <c r="K501" s="24"/>
      <c r="L501" s="24"/>
      <c r="M501" s="24"/>
      <c r="N501" s="24"/>
      <c r="S501" s="21" t="str">
        <f t="shared" si="8"/>
        <v/>
      </c>
    </row>
  </sheetData>
  <conditionalFormatting sqref="H379:H501">
    <cfRule type="iconSet" priority="5">
      <iconSet iconSet="3Symbols" reverse="1">
        <cfvo type="percent" val="0"/>
        <cfvo type="num" val="6"/>
        <cfvo type="num" val="10"/>
      </iconSet>
    </cfRule>
  </conditionalFormatting>
  <conditionalFormatting sqref="H356:H378">
    <cfRule type="iconSet" priority="19">
      <iconSet iconSet="3Symbols" reverse="1">
        <cfvo type="percent" val="0"/>
        <cfvo type="num" val="6"/>
        <cfvo type="num" val="10"/>
      </iconSet>
    </cfRule>
  </conditionalFormatting>
  <conditionalFormatting sqref="D1">
    <cfRule type="duplicateValues" dxfId="3" priority="3"/>
  </conditionalFormatting>
  <conditionalFormatting sqref="E1">
    <cfRule type="duplicateValues" dxfId="2" priority="2"/>
  </conditionalFormatting>
  <conditionalFormatting sqref="H2:H355">
    <cfRule type="iconSet" priority="1">
      <iconSet iconSet="3Symbols" reverse="1">
        <cfvo type="percent" val="0"/>
        <cfvo type="num" val="6"/>
        <cfvo type="num" val="10"/>
      </iconSet>
    </cfRule>
  </conditionalFormatting>
  <pageMargins left="0.75" right="0.75" top="0.75" bottom="0.5" header="0.5" footer="0.7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0A72B-A504-4ED5-B31C-9C7625A5F971}">
  <sheetPr codeName="Hoja2"/>
  <dimension ref="A3:R1048569"/>
  <sheetViews>
    <sheetView showGridLines="0" tabSelected="1" zoomScaleNormal="100" workbookViewId="0">
      <pane ySplit="3" topLeftCell="A4" activePane="bottomLeft" state="frozen"/>
      <selection activeCell="A3" sqref="A3"/>
      <selection pane="bottomLeft" activeCell="A3" sqref="A3"/>
    </sheetView>
  </sheetViews>
  <sheetFormatPr baseColWidth="10" defaultColWidth="9.140625" defaultRowHeight="15" x14ac:dyDescent="0.25"/>
  <cols>
    <col min="1" max="1" width="12.28515625" style="5" bestFit="1" customWidth="1"/>
    <col min="2" max="2" width="11.5703125" style="5" bestFit="1" customWidth="1"/>
    <col min="3" max="3" width="12.5703125" style="5" bestFit="1" customWidth="1"/>
    <col min="4" max="4" width="23.7109375" style="5" bestFit="1" customWidth="1"/>
    <col min="5" max="7" width="10.7109375" style="5" bestFit="1" customWidth="1"/>
    <col min="8" max="8" width="13" style="5" customWidth="1"/>
    <col min="9" max="9" width="8.85546875" style="5" bestFit="1" customWidth="1"/>
    <col min="10" max="10" width="11.85546875" style="5" bestFit="1" customWidth="1"/>
    <col min="11" max="11" width="19.140625" style="5" bestFit="1" customWidth="1"/>
    <col min="12" max="12" width="23.7109375" style="5" bestFit="1" customWidth="1"/>
    <col min="13" max="13" width="34" style="5" bestFit="1" customWidth="1"/>
    <col min="14" max="14" width="28.85546875" style="5" bestFit="1" customWidth="1"/>
    <col min="15" max="15" width="33.85546875" style="5" bestFit="1" customWidth="1"/>
    <col min="16" max="16" width="5.140625" style="5" bestFit="1" customWidth="1"/>
    <col min="17" max="17" width="55.42578125" style="5" bestFit="1" customWidth="1"/>
    <col min="18" max="18" width="30.5703125" style="43" customWidth="1"/>
    <col min="19" max="16384" width="9.140625" style="5"/>
  </cols>
  <sheetData>
    <row r="3" spans="1:18" x14ac:dyDescent="0.25">
      <c r="A3" s="4" t="s">
        <v>0</v>
      </c>
      <c r="B3" s="4" t="s">
        <v>1</v>
      </c>
      <c r="C3" s="4" t="s">
        <v>2</v>
      </c>
      <c r="D3" s="37" t="s">
        <v>34</v>
      </c>
      <c r="E3" s="13" t="s">
        <v>35</v>
      </c>
      <c r="F3" s="13" t="s">
        <v>74</v>
      </c>
      <c r="G3" s="13" t="s">
        <v>36</v>
      </c>
      <c r="H3" s="37" t="s">
        <v>37</v>
      </c>
      <c r="I3" s="37" t="s">
        <v>38</v>
      </c>
      <c r="J3" s="37" t="s">
        <v>39</v>
      </c>
      <c r="K3" s="37" t="s">
        <v>40</v>
      </c>
      <c r="L3" s="37" t="s">
        <v>41</v>
      </c>
      <c r="M3" s="37" t="s">
        <v>42</v>
      </c>
      <c r="N3" s="37" t="s">
        <v>43</v>
      </c>
      <c r="O3" s="33" t="s">
        <v>3</v>
      </c>
      <c r="P3" s="33" t="s">
        <v>4</v>
      </c>
      <c r="Q3" s="33" t="s">
        <v>5</v>
      </c>
      <c r="R3" s="33" t="s">
        <v>6</v>
      </c>
    </row>
    <row r="4" spans="1:18" x14ac:dyDescent="0.25">
      <c r="A4" s="6" t="s">
        <v>15</v>
      </c>
      <c r="B4" s="6">
        <v>11854248</v>
      </c>
      <c r="C4" s="6" t="s">
        <v>7</v>
      </c>
      <c r="D4" s="7" t="s">
        <v>62</v>
      </c>
      <c r="E4" s="8">
        <v>44600.439583333333</v>
      </c>
      <c r="F4" s="9">
        <v>44607</v>
      </c>
      <c r="G4" s="9">
        <v>44655</v>
      </c>
      <c r="H4" s="3">
        <v>39</v>
      </c>
      <c r="I4" s="7" t="s">
        <v>70</v>
      </c>
      <c r="J4" s="7" t="s">
        <v>71</v>
      </c>
      <c r="K4" s="25" t="s">
        <v>15</v>
      </c>
      <c r="L4" s="10" t="s">
        <v>44</v>
      </c>
      <c r="M4" s="10" t="s">
        <v>45</v>
      </c>
      <c r="N4" s="10" t="s">
        <v>117</v>
      </c>
      <c r="O4" s="6" t="s">
        <v>8</v>
      </c>
      <c r="P4" s="6">
        <v>2</v>
      </c>
      <c r="Q4" s="6" t="s">
        <v>12</v>
      </c>
      <c r="R4" s="44" t="s">
        <v>25</v>
      </c>
    </row>
    <row r="5" spans="1:18" x14ac:dyDescent="0.25">
      <c r="A5" s="6" t="s">
        <v>137</v>
      </c>
      <c r="B5" s="6">
        <v>12152695</v>
      </c>
      <c r="C5" s="6" t="s">
        <v>14</v>
      </c>
      <c r="D5" s="7" t="s">
        <v>112</v>
      </c>
      <c r="E5" s="8">
        <v>44630</v>
      </c>
      <c r="F5" s="9">
        <v>44637</v>
      </c>
      <c r="G5" s="9">
        <v>44655</v>
      </c>
      <c r="H5" s="3">
        <v>17</v>
      </c>
      <c r="I5" s="7" t="s">
        <v>72</v>
      </c>
      <c r="J5" s="7" t="s">
        <v>71</v>
      </c>
      <c r="K5" s="25" t="s">
        <v>17</v>
      </c>
      <c r="L5" s="10" t="s">
        <v>44</v>
      </c>
      <c r="M5" s="10" t="s">
        <v>49</v>
      </c>
      <c r="N5" s="10" t="s">
        <v>117</v>
      </c>
      <c r="O5" s="6" t="s">
        <v>8</v>
      </c>
      <c r="P5" s="6">
        <v>7</v>
      </c>
      <c r="Q5" s="6" t="s">
        <v>20</v>
      </c>
      <c r="R5" s="44" t="s">
        <v>503</v>
      </c>
    </row>
    <row r="6" spans="1:18" x14ac:dyDescent="0.25">
      <c r="A6" s="6" t="s">
        <v>23</v>
      </c>
      <c r="B6" s="6">
        <v>12149846</v>
      </c>
      <c r="C6" s="6" t="s">
        <v>9</v>
      </c>
      <c r="D6" s="7" t="s">
        <v>111</v>
      </c>
      <c r="E6" s="8">
        <v>44630</v>
      </c>
      <c r="F6" s="9">
        <v>44637</v>
      </c>
      <c r="G6" s="9">
        <v>44655</v>
      </c>
      <c r="H6" s="3">
        <v>17</v>
      </c>
      <c r="I6" s="7" t="s">
        <v>72</v>
      </c>
      <c r="J6" s="7" t="s">
        <v>71</v>
      </c>
      <c r="K6" s="25" t="s">
        <v>15</v>
      </c>
      <c r="L6" s="10" t="s">
        <v>44</v>
      </c>
      <c r="M6" s="10" t="s">
        <v>50</v>
      </c>
      <c r="N6" s="10" t="s">
        <v>117</v>
      </c>
      <c r="O6" s="6" t="s">
        <v>8</v>
      </c>
      <c r="P6" s="6">
        <v>6</v>
      </c>
      <c r="Q6" s="6" t="s">
        <v>19</v>
      </c>
      <c r="R6" s="44" t="s">
        <v>138</v>
      </c>
    </row>
    <row r="7" spans="1:18" x14ac:dyDescent="0.25">
      <c r="A7" s="6" t="s">
        <v>15</v>
      </c>
      <c r="B7" s="6">
        <v>12153374</v>
      </c>
      <c r="C7" s="6" t="s">
        <v>7</v>
      </c>
      <c r="D7" s="7" t="s">
        <v>113</v>
      </c>
      <c r="E7" s="8">
        <v>44630</v>
      </c>
      <c r="F7" s="9">
        <v>44637</v>
      </c>
      <c r="G7" s="9">
        <v>44655</v>
      </c>
      <c r="H7" s="3">
        <v>17</v>
      </c>
      <c r="I7" s="7" t="s">
        <v>72</v>
      </c>
      <c r="J7" s="7" t="s">
        <v>71</v>
      </c>
      <c r="K7" s="25" t="s">
        <v>15</v>
      </c>
      <c r="L7" s="10" t="s">
        <v>44</v>
      </c>
      <c r="M7" s="10" t="s">
        <v>47</v>
      </c>
      <c r="N7" s="10" t="s">
        <v>117</v>
      </c>
      <c r="O7" s="6" t="s">
        <v>8</v>
      </c>
      <c r="P7" s="6">
        <v>2</v>
      </c>
      <c r="Q7" s="6" t="s">
        <v>12</v>
      </c>
      <c r="R7" s="44" t="s">
        <v>132</v>
      </c>
    </row>
    <row r="8" spans="1:18" x14ac:dyDescent="0.25">
      <c r="A8" s="6" t="s">
        <v>76</v>
      </c>
      <c r="B8" s="6">
        <v>12176840</v>
      </c>
      <c r="C8" s="6" t="s">
        <v>7</v>
      </c>
      <c r="D8" s="7" t="s">
        <v>120</v>
      </c>
      <c r="E8" s="8">
        <v>44631</v>
      </c>
      <c r="F8" s="9">
        <v>44638</v>
      </c>
      <c r="G8" s="9">
        <v>44655</v>
      </c>
      <c r="H8" s="3">
        <v>16</v>
      </c>
      <c r="I8" s="7" t="s">
        <v>72</v>
      </c>
      <c r="J8" s="7" t="s">
        <v>71</v>
      </c>
      <c r="K8" s="25" t="s">
        <v>17</v>
      </c>
      <c r="L8" s="10" t="s">
        <v>44</v>
      </c>
      <c r="M8" s="10" t="s">
        <v>47</v>
      </c>
      <c r="N8" s="10" t="s">
        <v>117</v>
      </c>
      <c r="O8" s="6" t="s">
        <v>8</v>
      </c>
      <c r="P8" s="6">
        <v>2</v>
      </c>
      <c r="Q8" s="6" t="s">
        <v>12</v>
      </c>
      <c r="R8" s="44" t="s">
        <v>349</v>
      </c>
    </row>
    <row r="9" spans="1:18" x14ac:dyDescent="0.25">
      <c r="A9" s="5" t="s">
        <v>119</v>
      </c>
      <c r="B9" s="5">
        <v>12176840</v>
      </c>
      <c r="C9" s="5" t="s">
        <v>24</v>
      </c>
      <c r="D9" s="7" t="s">
        <v>120</v>
      </c>
      <c r="E9" s="8">
        <v>44631</v>
      </c>
      <c r="F9" s="9">
        <v>44638</v>
      </c>
      <c r="G9" s="9">
        <v>44655</v>
      </c>
      <c r="H9" s="3">
        <v>16</v>
      </c>
      <c r="I9" s="7" t="s">
        <v>72</v>
      </c>
      <c r="J9" s="7" t="s">
        <v>71</v>
      </c>
      <c r="K9" s="25" t="s">
        <v>17</v>
      </c>
      <c r="L9" s="10" t="s">
        <v>44</v>
      </c>
      <c r="M9" s="10" t="s">
        <v>47</v>
      </c>
      <c r="N9" s="10" t="s">
        <v>117</v>
      </c>
      <c r="O9" s="5" t="s">
        <v>8</v>
      </c>
      <c r="P9" s="5">
        <v>2</v>
      </c>
      <c r="Q9" s="5" t="s">
        <v>12</v>
      </c>
      <c r="R9" s="43" t="s">
        <v>349</v>
      </c>
    </row>
    <row r="10" spans="1:18" x14ac:dyDescent="0.25">
      <c r="A10" s="6" t="s">
        <v>15</v>
      </c>
      <c r="B10" s="6">
        <v>12196873</v>
      </c>
      <c r="C10" s="6" t="s">
        <v>9</v>
      </c>
      <c r="D10" s="7" t="s">
        <v>133</v>
      </c>
      <c r="E10" s="8">
        <v>44635</v>
      </c>
      <c r="F10" s="9">
        <v>44643</v>
      </c>
      <c r="G10" s="9">
        <v>44655</v>
      </c>
      <c r="H10" s="3">
        <v>14</v>
      </c>
      <c r="I10" s="7" t="s">
        <v>72</v>
      </c>
      <c r="J10" s="7" t="s">
        <v>71</v>
      </c>
      <c r="K10" s="25" t="s">
        <v>15</v>
      </c>
      <c r="L10" s="10" t="s">
        <v>44</v>
      </c>
      <c r="M10" s="10" t="s">
        <v>49</v>
      </c>
      <c r="N10" s="10" t="s">
        <v>117</v>
      </c>
      <c r="O10" s="6" t="s">
        <v>26</v>
      </c>
      <c r="P10" s="6">
        <v>10</v>
      </c>
      <c r="Q10" s="6" t="s">
        <v>20</v>
      </c>
      <c r="R10" s="44" t="s">
        <v>150</v>
      </c>
    </row>
    <row r="11" spans="1:18" x14ac:dyDescent="0.25">
      <c r="A11" s="6" t="s">
        <v>137</v>
      </c>
      <c r="B11" s="6">
        <v>12207620</v>
      </c>
      <c r="C11" s="6" t="s">
        <v>14</v>
      </c>
      <c r="D11" s="7" t="s">
        <v>141</v>
      </c>
      <c r="E11" s="8">
        <v>44636</v>
      </c>
      <c r="F11" s="9">
        <v>44644</v>
      </c>
      <c r="G11" s="9">
        <v>44655</v>
      </c>
      <c r="H11" s="3">
        <v>13</v>
      </c>
      <c r="I11" s="7" t="s">
        <v>72</v>
      </c>
      <c r="J11" s="7" t="s">
        <v>71</v>
      </c>
      <c r="K11" s="25" t="s">
        <v>23</v>
      </c>
      <c r="L11" s="10" t="s">
        <v>44</v>
      </c>
      <c r="M11" s="10" t="s">
        <v>49</v>
      </c>
      <c r="N11" s="10" t="s">
        <v>117</v>
      </c>
      <c r="O11" s="6" t="s">
        <v>8</v>
      </c>
      <c r="P11" s="6">
        <v>7</v>
      </c>
      <c r="Q11" s="6" t="s">
        <v>20</v>
      </c>
      <c r="R11" s="44" t="s">
        <v>502</v>
      </c>
    </row>
    <row r="12" spans="1:18" x14ac:dyDescent="0.25">
      <c r="A12" s="6" t="s">
        <v>21</v>
      </c>
      <c r="B12" s="6">
        <v>12220948</v>
      </c>
      <c r="C12" s="6" t="s">
        <v>14</v>
      </c>
      <c r="D12" s="7" t="s">
        <v>145</v>
      </c>
      <c r="E12" s="8">
        <v>44637</v>
      </c>
      <c r="F12" s="9">
        <v>44645</v>
      </c>
      <c r="G12" s="9">
        <v>44655</v>
      </c>
      <c r="H12" s="3">
        <v>12</v>
      </c>
      <c r="I12" s="7" t="s">
        <v>72</v>
      </c>
      <c r="J12" s="7" t="s">
        <v>71</v>
      </c>
      <c r="K12" s="25" t="s">
        <v>17</v>
      </c>
      <c r="L12" s="10" t="s">
        <v>44</v>
      </c>
      <c r="M12" s="10" t="s">
        <v>49</v>
      </c>
      <c r="N12" s="10" t="s">
        <v>117</v>
      </c>
      <c r="O12" s="6" t="s">
        <v>8</v>
      </c>
      <c r="P12" s="6">
        <v>7</v>
      </c>
      <c r="Q12" s="6" t="s">
        <v>20</v>
      </c>
      <c r="R12" s="44" t="s">
        <v>529</v>
      </c>
    </row>
    <row r="13" spans="1:18" x14ac:dyDescent="0.25">
      <c r="A13" s="6" t="s">
        <v>17</v>
      </c>
      <c r="B13" s="6">
        <v>12256456</v>
      </c>
      <c r="C13" s="6" t="s">
        <v>9</v>
      </c>
      <c r="D13" s="7" t="s">
        <v>139</v>
      </c>
      <c r="E13" s="8">
        <v>44643</v>
      </c>
      <c r="F13" s="9">
        <v>44650</v>
      </c>
      <c r="G13" s="9">
        <v>44655</v>
      </c>
      <c r="H13" s="3">
        <v>9</v>
      </c>
      <c r="I13" s="7" t="s">
        <v>72</v>
      </c>
      <c r="J13" s="7" t="s">
        <v>71</v>
      </c>
      <c r="K13" s="25" t="s">
        <v>17</v>
      </c>
      <c r="L13" s="10" t="s">
        <v>44</v>
      </c>
      <c r="M13" s="10" t="s">
        <v>49</v>
      </c>
      <c r="N13" s="10" t="s">
        <v>117</v>
      </c>
      <c r="O13" s="6" t="s">
        <v>26</v>
      </c>
      <c r="P13" s="6">
        <v>10</v>
      </c>
      <c r="Q13" s="6" t="s">
        <v>20</v>
      </c>
      <c r="R13" s="44" t="s">
        <v>452</v>
      </c>
    </row>
    <row r="14" spans="1:18" x14ac:dyDescent="0.25">
      <c r="A14" s="5" t="s">
        <v>15</v>
      </c>
      <c r="B14" s="5">
        <v>12255846</v>
      </c>
      <c r="C14" s="5" t="s">
        <v>9</v>
      </c>
      <c r="D14" s="7" t="s">
        <v>158</v>
      </c>
      <c r="E14" s="8">
        <v>44643</v>
      </c>
      <c r="F14" s="9">
        <v>44650</v>
      </c>
      <c r="G14" s="9">
        <v>44655</v>
      </c>
      <c r="H14" s="3">
        <v>9</v>
      </c>
      <c r="I14" s="7" t="s">
        <v>72</v>
      </c>
      <c r="J14" s="7" t="s">
        <v>71</v>
      </c>
      <c r="K14" s="25" t="s">
        <v>15</v>
      </c>
      <c r="L14" s="10" t="s">
        <v>44</v>
      </c>
      <c r="M14" s="10" t="s">
        <v>48</v>
      </c>
      <c r="N14" s="10" t="s">
        <v>117</v>
      </c>
      <c r="O14" s="5" t="s">
        <v>26</v>
      </c>
      <c r="P14" s="5">
        <v>8</v>
      </c>
      <c r="Q14" s="5" t="s">
        <v>131</v>
      </c>
      <c r="R14" s="43" t="s">
        <v>205</v>
      </c>
    </row>
    <row r="15" spans="1:18" x14ac:dyDescent="0.25">
      <c r="A15" s="6" t="s">
        <v>15</v>
      </c>
      <c r="B15" s="6">
        <v>12263073</v>
      </c>
      <c r="C15" s="6" t="s">
        <v>9</v>
      </c>
      <c r="D15" s="7" t="s">
        <v>159</v>
      </c>
      <c r="E15" s="8">
        <v>44643</v>
      </c>
      <c r="F15" s="9">
        <v>44650</v>
      </c>
      <c r="G15" s="9">
        <v>44655</v>
      </c>
      <c r="H15" s="3">
        <v>9</v>
      </c>
      <c r="I15" s="7" t="s">
        <v>72</v>
      </c>
      <c r="J15" s="7" t="s">
        <v>71</v>
      </c>
      <c r="K15" s="25" t="s">
        <v>15</v>
      </c>
      <c r="L15" s="10" t="s">
        <v>44</v>
      </c>
      <c r="M15" s="10" t="s">
        <v>48</v>
      </c>
      <c r="N15" s="10" t="s">
        <v>117</v>
      </c>
      <c r="O15" s="6" t="s">
        <v>26</v>
      </c>
      <c r="P15" s="6">
        <v>8</v>
      </c>
      <c r="Q15" s="6" t="s">
        <v>131</v>
      </c>
      <c r="R15" s="44" t="s">
        <v>206</v>
      </c>
    </row>
    <row r="16" spans="1:18" x14ac:dyDescent="0.25">
      <c r="A16" s="5" t="s">
        <v>17</v>
      </c>
      <c r="B16" s="5">
        <v>12258476</v>
      </c>
      <c r="C16" s="5" t="s">
        <v>7</v>
      </c>
      <c r="D16" s="7" t="s">
        <v>165</v>
      </c>
      <c r="E16" s="8">
        <v>44643</v>
      </c>
      <c r="F16" s="9">
        <v>44650</v>
      </c>
      <c r="G16" s="9">
        <v>44655</v>
      </c>
      <c r="H16" s="3">
        <v>9</v>
      </c>
      <c r="I16" s="7" t="s">
        <v>72</v>
      </c>
      <c r="J16" s="7" t="s">
        <v>71</v>
      </c>
      <c r="K16" s="25" t="s">
        <v>17</v>
      </c>
      <c r="L16" s="10" t="s">
        <v>44</v>
      </c>
      <c r="M16" s="10" t="s">
        <v>66</v>
      </c>
      <c r="N16" s="10" t="s">
        <v>117</v>
      </c>
      <c r="O16" s="5" t="s">
        <v>8</v>
      </c>
      <c r="P16" s="5">
        <v>5</v>
      </c>
      <c r="Q16" s="5" t="s">
        <v>10</v>
      </c>
      <c r="R16" s="43" t="s">
        <v>362</v>
      </c>
    </row>
    <row r="17" spans="1:18" x14ac:dyDescent="0.25">
      <c r="A17" s="5" t="s">
        <v>21</v>
      </c>
      <c r="B17" s="5">
        <v>12254912</v>
      </c>
      <c r="C17" s="5" t="s">
        <v>14</v>
      </c>
      <c r="D17" s="7" t="s">
        <v>161</v>
      </c>
      <c r="E17" s="8">
        <v>44643</v>
      </c>
      <c r="F17" s="9">
        <v>44650</v>
      </c>
      <c r="G17" s="9">
        <v>44655</v>
      </c>
      <c r="H17" s="3">
        <v>9</v>
      </c>
      <c r="I17" s="7" t="s">
        <v>72</v>
      </c>
      <c r="J17" s="7" t="s">
        <v>71</v>
      </c>
      <c r="K17" s="25" t="s">
        <v>15</v>
      </c>
      <c r="L17" s="10" t="s">
        <v>44</v>
      </c>
      <c r="M17" s="10" t="s">
        <v>49</v>
      </c>
      <c r="N17" s="10" t="s">
        <v>117</v>
      </c>
      <c r="O17" s="5" t="s">
        <v>8</v>
      </c>
      <c r="P17" s="5">
        <v>7</v>
      </c>
      <c r="Q17" s="5" t="s">
        <v>20</v>
      </c>
      <c r="R17" s="43" t="s">
        <v>765</v>
      </c>
    </row>
    <row r="18" spans="1:18" x14ac:dyDescent="0.25">
      <c r="A18" s="6" t="s">
        <v>23</v>
      </c>
      <c r="B18" s="6">
        <v>12255286</v>
      </c>
      <c r="C18" s="6" t="s">
        <v>9</v>
      </c>
      <c r="D18" s="7" t="s">
        <v>162</v>
      </c>
      <c r="E18" s="8">
        <v>44643</v>
      </c>
      <c r="F18" s="9">
        <v>44650</v>
      </c>
      <c r="G18" s="9">
        <v>44655</v>
      </c>
      <c r="H18" s="3">
        <v>9</v>
      </c>
      <c r="I18" s="7" t="s">
        <v>72</v>
      </c>
      <c r="J18" s="7" t="s">
        <v>71</v>
      </c>
      <c r="K18" s="25" t="s">
        <v>23</v>
      </c>
      <c r="L18" s="10" t="s">
        <v>44</v>
      </c>
      <c r="M18" s="10" t="s">
        <v>50</v>
      </c>
      <c r="N18" s="10" t="s">
        <v>117</v>
      </c>
      <c r="O18" s="6" t="s">
        <v>8</v>
      </c>
      <c r="P18" s="6">
        <v>6</v>
      </c>
      <c r="Q18" s="6" t="s">
        <v>19</v>
      </c>
      <c r="R18" s="44" t="s">
        <v>178</v>
      </c>
    </row>
    <row r="19" spans="1:18" x14ac:dyDescent="0.25">
      <c r="A19" s="6" t="s">
        <v>17</v>
      </c>
      <c r="B19" s="6">
        <v>12270922</v>
      </c>
      <c r="C19" s="6" t="s">
        <v>9</v>
      </c>
      <c r="D19" s="7" t="s">
        <v>169</v>
      </c>
      <c r="E19" s="8">
        <v>44644</v>
      </c>
      <c r="F19" s="9">
        <v>44651</v>
      </c>
      <c r="G19" s="9">
        <v>44655</v>
      </c>
      <c r="H19" s="3">
        <v>8</v>
      </c>
      <c r="I19" s="7" t="s">
        <v>72</v>
      </c>
      <c r="J19" s="7" t="s">
        <v>71</v>
      </c>
      <c r="K19" s="25" t="s">
        <v>17</v>
      </c>
      <c r="L19" s="10" t="s">
        <v>44</v>
      </c>
      <c r="M19" s="10" t="s">
        <v>47</v>
      </c>
      <c r="N19" s="10" t="s">
        <v>117</v>
      </c>
      <c r="O19" s="6" t="s">
        <v>26</v>
      </c>
      <c r="P19" s="6">
        <v>2</v>
      </c>
      <c r="Q19" s="6" t="s">
        <v>12</v>
      </c>
      <c r="R19" s="44" t="s">
        <v>168</v>
      </c>
    </row>
    <row r="20" spans="1:18" x14ac:dyDescent="0.25">
      <c r="A20" s="6" t="s">
        <v>119</v>
      </c>
      <c r="B20" s="6">
        <v>12270922</v>
      </c>
      <c r="C20" s="6" t="s">
        <v>24</v>
      </c>
      <c r="D20" s="7" t="s">
        <v>169</v>
      </c>
      <c r="E20" s="8">
        <v>44644</v>
      </c>
      <c r="F20" s="9">
        <v>44651</v>
      </c>
      <c r="G20" s="9">
        <v>44655</v>
      </c>
      <c r="H20" s="3">
        <v>8</v>
      </c>
      <c r="I20" s="7" t="s">
        <v>72</v>
      </c>
      <c r="J20" s="7" t="s">
        <v>71</v>
      </c>
      <c r="K20" s="25" t="s">
        <v>17</v>
      </c>
      <c r="L20" s="10" t="s">
        <v>44</v>
      </c>
      <c r="M20" s="10" t="s">
        <v>47</v>
      </c>
      <c r="N20" s="10" t="s">
        <v>117</v>
      </c>
      <c r="O20" s="6" t="s">
        <v>26</v>
      </c>
      <c r="P20" s="6">
        <v>2</v>
      </c>
      <c r="Q20" s="6" t="s">
        <v>12</v>
      </c>
      <c r="R20" s="44" t="s">
        <v>168</v>
      </c>
    </row>
    <row r="21" spans="1:18" x14ac:dyDescent="0.25">
      <c r="A21" s="6" t="s">
        <v>15</v>
      </c>
      <c r="B21" s="6">
        <v>12269803</v>
      </c>
      <c r="C21" s="6" t="s">
        <v>7</v>
      </c>
      <c r="D21" s="7" t="s">
        <v>172</v>
      </c>
      <c r="E21" s="8">
        <v>44644</v>
      </c>
      <c r="F21" s="9">
        <v>44651</v>
      </c>
      <c r="G21" s="9">
        <v>44655</v>
      </c>
      <c r="H21" s="3">
        <v>8</v>
      </c>
      <c r="I21" s="7" t="s">
        <v>72</v>
      </c>
      <c r="J21" s="7" t="s">
        <v>71</v>
      </c>
      <c r="K21" s="25" t="s">
        <v>15</v>
      </c>
      <c r="L21" s="10" t="s">
        <v>44</v>
      </c>
      <c r="M21" s="10" t="s">
        <v>47</v>
      </c>
      <c r="N21" s="10" t="s">
        <v>117</v>
      </c>
      <c r="O21" s="6" t="s">
        <v>8</v>
      </c>
      <c r="P21" s="6">
        <v>2</v>
      </c>
      <c r="Q21" s="6" t="s">
        <v>12</v>
      </c>
      <c r="R21" s="44" t="s">
        <v>523</v>
      </c>
    </row>
    <row r="22" spans="1:18" x14ac:dyDescent="0.25">
      <c r="A22" s="6" t="s">
        <v>21</v>
      </c>
      <c r="B22" s="6">
        <v>12268754</v>
      </c>
      <c r="C22" s="6" t="s">
        <v>14</v>
      </c>
      <c r="D22" s="7" t="s">
        <v>171</v>
      </c>
      <c r="E22" s="8">
        <v>44644</v>
      </c>
      <c r="F22" s="9">
        <v>44651</v>
      </c>
      <c r="G22" s="9">
        <v>44655</v>
      </c>
      <c r="H22" s="3">
        <v>8</v>
      </c>
      <c r="I22" s="7" t="s">
        <v>72</v>
      </c>
      <c r="J22" s="7" t="s">
        <v>71</v>
      </c>
      <c r="K22" s="25" t="s">
        <v>15</v>
      </c>
      <c r="L22" s="10" t="s">
        <v>44</v>
      </c>
      <c r="M22" s="10" t="s">
        <v>49</v>
      </c>
      <c r="N22" s="10" t="s">
        <v>117</v>
      </c>
      <c r="O22" s="6" t="s">
        <v>8</v>
      </c>
      <c r="P22" s="6">
        <v>7</v>
      </c>
      <c r="Q22" s="6" t="s">
        <v>20</v>
      </c>
      <c r="R22" s="44" t="s">
        <v>494</v>
      </c>
    </row>
    <row r="23" spans="1:18" x14ac:dyDescent="0.25">
      <c r="A23" s="5" t="s">
        <v>137</v>
      </c>
      <c r="B23" s="5">
        <v>12285763</v>
      </c>
      <c r="C23" s="5" t="s">
        <v>14</v>
      </c>
      <c r="D23" s="7" t="s">
        <v>199</v>
      </c>
      <c r="E23" s="8">
        <v>44647</v>
      </c>
      <c r="F23" s="9">
        <v>44652</v>
      </c>
      <c r="G23" s="9">
        <v>44655</v>
      </c>
      <c r="H23" s="3">
        <v>6</v>
      </c>
      <c r="I23" s="7" t="s">
        <v>72</v>
      </c>
      <c r="J23" s="7" t="s">
        <v>71</v>
      </c>
      <c r="K23" s="25" t="s">
        <v>15</v>
      </c>
      <c r="L23" s="10" t="s">
        <v>44</v>
      </c>
      <c r="M23" s="10" t="s">
        <v>49</v>
      </c>
      <c r="N23" s="10" t="s">
        <v>117</v>
      </c>
      <c r="O23" s="5" t="s">
        <v>8</v>
      </c>
      <c r="P23" s="5">
        <v>7</v>
      </c>
      <c r="Q23" s="5" t="s">
        <v>20</v>
      </c>
      <c r="R23" s="43" t="s">
        <v>392</v>
      </c>
    </row>
    <row r="24" spans="1:18" x14ac:dyDescent="0.25">
      <c r="A24" s="6" t="s">
        <v>137</v>
      </c>
      <c r="B24" s="6">
        <v>12281197</v>
      </c>
      <c r="C24" s="6" t="s">
        <v>14</v>
      </c>
      <c r="D24" s="7" t="s">
        <v>190</v>
      </c>
      <c r="E24" s="8">
        <v>44647</v>
      </c>
      <c r="F24" s="9">
        <v>44652</v>
      </c>
      <c r="G24" s="9">
        <v>44655</v>
      </c>
      <c r="H24" s="3">
        <v>6</v>
      </c>
      <c r="I24" s="7" t="s">
        <v>72</v>
      </c>
      <c r="J24" s="7" t="s">
        <v>71</v>
      </c>
      <c r="K24" s="25" t="s">
        <v>15</v>
      </c>
      <c r="L24" s="10" t="s">
        <v>44</v>
      </c>
      <c r="M24" s="10" t="s">
        <v>49</v>
      </c>
      <c r="N24" s="10" t="s">
        <v>117</v>
      </c>
      <c r="O24" s="6" t="s">
        <v>8</v>
      </c>
      <c r="P24" s="6">
        <v>7</v>
      </c>
      <c r="Q24" s="6" t="s">
        <v>20</v>
      </c>
      <c r="R24" s="44" t="s">
        <v>396</v>
      </c>
    </row>
    <row r="25" spans="1:18" x14ac:dyDescent="0.25">
      <c r="A25" s="5" t="s">
        <v>137</v>
      </c>
      <c r="B25" s="5">
        <v>12278245</v>
      </c>
      <c r="C25" s="5" t="s">
        <v>14</v>
      </c>
      <c r="D25" s="7" t="s">
        <v>197</v>
      </c>
      <c r="E25" s="8">
        <v>44647</v>
      </c>
      <c r="F25" s="9">
        <v>44652</v>
      </c>
      <c r="G25" s="9">
        <v>44655</v>
      </c>
      <c r="H25" s="3">
        <v>6</v>
      </c>
      <c r="I25" s="7" t="s">
        <v>72</v>
      </c>
      <c r="J25" s="7" t="s">
        <v>71</v>
      </c>
      <c r="K25" s="25" t="s">
        <v>76</v>
      </c>
      <c r="L25" s="10" t="s">
        <v>44</v>
      </c>
      <c r="M25" s="10" t="s">
        <v>49</v>
      </c>
      <c r="N25" s="10" t="s">
        <v>117</v>
      </c>
      <c r="O25" s="5" t="s">
        <v>8</v>
      </c>
      <c r="P25" s="5">
        <v>7</v>
      </c>
      <c r="Q25" s="5" t="s">
        <v>20</v>
      </c>
      <c r="R25" s="43" t="s">
        <v>504</v>
      </c>
    </row>
    <row r="26" spans="1:18" x14ac:dyDescent="0.25">
      <c r="A26" s="6" t="s">
        <v>137</v>
      </c>
      <c r="B26" s="6">
        <v>12279177</v>
      </c>
      <c r="C26" s="6" t="s">
        <v>14</v>
      </c>
      <c r="D26" s="7" t="s">
        <v>186</v>
      </c>
      <c r="E26" s="8">
        <v>44647</v>
      </c>
      <c r="F26" s="9">
        <v>44652</v>
      </c>
      <c r="G26" s="9">
        <v>44655</v>
      </c>
      <c r="H26" s="3">
        <v>6</v>
      </c>
      <c r="I26" s="7" t="s">
        <v>72</v>
      </c>
      <c r="J26" s="7" t="s">
        <v>71</v>
      </c>
      <c r="K26" s="25" t="s">
        <v>17</v>
      </c>
      <c r="L26" s="10" t="s">
        <v>44</v>
      </c>
      <c r="M26" s="10" t="s">
        <v>49</v>
      </c>
      <c r="N26" s="10" t="s">
        <v>117</v>
      </c>
      <c r="O26" s="6" t="s">
        <v>8</v>
      </c>
      <c r="P26" s="6">
        <v>7</v>
      </c>
      <c r="Q26" s="6" t="s">
        <v>20</v>
      </c>
      <c r="R26" s="44" t="s">
        <v>505</v>
      </c>
    </row>
    <row r="27" spans="1:18" x14ac:dyDescent="0.25">
      <c r="A27" s="6" t="s">
        <v>21</v>
      </c>
      <c r="B27" s="6">
        <v>12279084</v>
      </c>
      <c r="C27" s="6" t="s">
        <v>9</v>
      </c>
      <c r="D27" s="7" t="s">
        <v>181</v>
      </c>
      <c r="E27" s="8">
        <v>44647</v>
      </c>
      <c r="F27" s="9">
        <v>44652</v>
      </c>
      <c r="G27" s="9">
        <v>44655</v>
      </c>
      <c r="H27" s="3">
        <v>6</v>
      </c>
      <c r="I27" s="7" t="s">
        <v>72</v>
      </c>
      <c r="J27" s="7" t="s">
        <v>71</v>
      </c>
      <c r="K27" s="25" t="s">
        <v>15</v>
      </c>
      <c r="L27" s="10" t="s">
        <v>44</v>
      </c>
      <c r="M27" s="10" t="s">
        <v>49</v>
      </c>
      <c r="N27" s="10" t="s">
        <v>117</v>
      </c>
      <c r="O27" s="6" t="s">
        <v>8</v>
      </c>
      <c r="P27" s="6">
        <v>7</v>
      </c>
      <c r="Q27" s="6" t="s">
        <v>20</v>
      </c>
      <c r="R27" s="44" t="s">
        <v>492</v>
      </c>
    </row>
    <row r="28" spans="1:18" x14ac:dyDescent="0.25">
      <c r="A28" s="6" t="s">
        <v>21</v>
      </c>
      <c r="B28" s="6">
        <v>12280291</v>
      </c>
      <c r="C28" s="6" t="s">
        <v>14</v>
      </c>
      <c r="D28" s="7" t="s">
        <v>189</v>
      </c>
      <c r="E28" s="8">
        <v>44647</v>
      </c>
      <c r="F28" s="9">
        <v>44652</v>
      </c>
      <c r="G28" s="9">
        <v>44655</v>
      </c>
      <c r="H28" s="3">
        <v>6</v>
      </c>
      <c r="I28" s="7" t="s">
        <v>72</v>
      </c>
      <c r="J28" s="7" t="s">
        <v>71</v>
      </c>
      <c r="K28" s="25" t="s">
        <v>17</v>
      </c>
      <c r="L28" s="10" t="s">
        <v>44</v>
      </c>
      <c r="M28" s="10" t="s">
        <v>49</v>
      </c>
      <c r="N28" s="10" t="s">
        <v>117</v>
      </c>
      <c r="O28" s="6" t="s">
        <v>8</v>
      </c>
      <c r="P28" s="6">
        <v>7</v>
      </c>
      <c r="Q28" s="6" t="s">
        <v>20</v>
      </c>
      <c r="R28" s="44" t="s">
        <v>742</v>
      </c>
    </row>
    <row r="29" spans="1:18" x14ac:dyDescent="0.25">
      <c r="A29" s="6" t="s">
        <v>23</v>
      </c>
      <c r="B29" s="6">
        <v>12213622</v>
      </c>
      <c r="C29" s="6" t="s">
        <v>9</v>
      </c>
      <c r="D29" s="7" t="s">
        <v>140</v>
      </c>
      <c r="E29" s="8">
        <v>44647</v>
      </c>
      <c r="F29" s="9">
        <v>44652</v>
      </c>
      <c r="G29" s="9">
        <v>44655</v>
      </c>
      <c r="H29" s="3">
        <v>6</v>
      </c>
      <c r="I29" s="7" t="s">
        <v>72</v>
      </c>
      <c r="J29" s="7" t="s">
        <v>71</v>
      </c>
      <c r="K29" s="25" t="s">
        <v>23</v>
      </c>
      <c r="L29" s="10" t="s">
        <v>44</v>
      </c>
      <c r="M29" s="10" t="s">
        <v>50</v>
      </c>
      <c r="N29" s="10" t="s">
        <v>117</v>
      </c>
      <c r="O29" s="6" t="s">
        <v>8</v>
      </c>
      <c r="P29" s="6">
        <v>6</v>
      </c>
      <c r="Q29" s="6" t="s">
        <v>19</v>
      </c>
      <c r="R29" s="44" t="s">
        <v>177</v>
      </c>
    </row>
    <row r="30" spans="1:18" x14ac:dyDescent="0.25">
      <c r="A30" s="6" t="s">
        <v>23</v>
      </c>
      <c r="B30" s="6">
        <v>12283690</v>
      </c>
      <c r="C30" s="6" t="s">
        <v>9</v>
      </c>
      <c r="D30" s="7" t="s">
        <v>192</v>
      </c>
      <c r="E30" s="8">
        <v>44647</v>
      </c>
      <c r="F30" s="9">
        <v>44652</v>
      </c>
      <c r="G30" s="9">
        <v>44655</v>
      </c>
      <c r="H30" s="3">
        <v>6</v>
      </c>
      <c r="I30" s="7" t="s">
        <v>72</v>
      </c>
      <c r="J30" s="7" t="s">
        <v>71</v>
      </c>
      <c r="K30" s="25" t="s">
        <v>23</v>
      </c>
      <c r="L30" s="10" t="s">
        <v>44</v>
      </c>
      <c r="M30" s="10" t="s">
        <v>50</v>
      </c>
      <c r="N30" s="10" t="s">
        <v>117</v>
      </c>
      <c r="O30" s="6" t="s">
        <v>8</v>
      </c>
      <c r="P30" s="6">
        <v>6</v>
      </c>
      <c r="Q30" s="6" t="s">
        <v>19</v>
      </c>
      <c r="R30" s="44" t="s">
        <v>209</v>
      </c>
    </row>
    <row r="31" spans="1:18" x14ac:dyDescent="0.25">
      <c r="A31" s="6" t="s">
        <v>15</v>
      </c>
      <c r="B31" s="6">
        <v>12292646</v>
      </c>
      <c r="C31" s="6" t="s">
        <v>9</v>
      </c>
      <c r="D31" s="7" t="s">
        <v>210</v>
      </c>
      <c r="E31" s="8">
        <v>44648</v>
      </c>
      <c r="F31" s="9">
        <v>44655</v>
      </c>
      <c r="G31" s="9">
        <v>44655</v>
      </c>
      <c r="H31" s="3">
        <v>6</v>
      </c>
      <c r="I31" s="7" t="s">
        <v>72</v>
      </c>
      <c r="J31" s="7" t="s">
        <v>71</v>
      </c>
      <c r="K31" s="25" t="s">
        <v>15</v>
      </c>
      <c r="L31" s="10" t="s">
        <v>44</v>
      </c>
      <c r="M31" s="10" t="s">
        <v>48</v>
      </c>
      <c r="N31" s="10" t="s">
        <v>117</v>
      </c>
      <c r="O31" s="6" t="s">
        <v>26</v>
      </c>
      <c r="P31" s="6">
        <v>8</v>
      </c>
      <c r="Q31" s="6" t="s">
        <v>131</v>
      </c>
      <c r="R31" s="44" t="s">
        <v>455</v>
      </c>
    </row>
    <row r="32" spans="1:18" x14ac:dyDescent="0.25">
      <c r="A32" s="6" t="s">
        <v>137</v>
      </c>
      <c r="B32" s="6">
        <v>12297589</v>
      </c>
      <c r="C32" s="6" t="s">
        <v>14</v>
      </c>
      <c r="D32" s="7" t="s">
        <v>226</v>
      </c>
      <c r="E32" s="8">
        <v>44648</v>
      </c>
      <c r="F32" s="9">
        <v>44655</v>
      </c>
      <c r="G32" s="9">
        <v>44655</v>
      </c>
      <c r="H32" s="3">
        <v>6</v>
      </c>
      <c r="I32" s="7" t="s">
        <v>72</v>
      </c>
      <c r="J32" s="7" t="s">
        <v>71</v>
      </c>
      <c r="K32" s="25" t="s">
        <v>15</v>
      </c>
      <c r="L32" s="10" t="s">
        <v>44</v>
      </c>
      <c r="M32" s="10" t="s">
        <v>49</v>
      </c>
      <c r="N32" s="10" t="s">
        <v>117</v>
      </c>
      <c r="O32" s="6" t="s">
        <v>8</v>
      </c>
      <c r="P32" s="6">
        <v>7</v>
      </c>
      <c r="Q32" s="6" t="s">
        <v>20</v>
      </c>
      <c r="R32" s="44" t="s">
        <v>394</v>
      </c>
    </row>
    <row r="33" spans="1:18" x14ac:dyDescent="0.25">
      <c r="A33" s="6" t="s">
        <v>15</v>
      </c>
      <c r="B33" s="6">
        <v>12297509</v>
      </c>
      <c r="C33" s="6" t="s">
        <v>7</v>
      </c>
      <c r="D33" s="7" t="s">
        <v>216</v>
      </c>
      <c r="E33" s="8">
        <v>44648</v>
      </c>
      <c r="F33" s="9">
        <v>44655</v>
      </c>
      <c r="G33" s="9">
        <v>44655</v>
      </c>
      <c r="H33" s="3">
        <v>6</v>
      </c>
      <c r="I33" s="7" t="s">
        <v>72</v>
      </c>
      <c r="J33" s="7" t="s">
        <v>71</v>
      </c>
      <c r="K33" s="25" t="s">
        <v>15</v>
      </c>
      <c r="L33" s="10" t="s">
        <v>44</v>
      </c>
      <c r="M33" s="10" t="s">
        <v>47</v>
      </c>
      <c r="N33" s="10" t="s">
        <v>117</v>
      </c>
      <c r="O33" s="6" t="s">
        <v>8</v>
      </c>
      <c r="P33" s="6">
        <v>2</v>
      </c>
      <c r="Q33" s="6" t="s">
        <v>12</v>
      </c>
      <c r="R33" s="44" t="s">
        <v>376</v>
      </c>
    </row>
    <row r="34" spans="1:18" x14ac:dyDescent="0.25">
      <c r="A34" s="6" t="s">
        <v>21</v>
      </c>
      <c r="B34" s="6">
        <v>12291949</v>
      </c>
      <c r="C34" s="6" t="s">
        <v>14</v>
      </c>
      <c r="D34" s="7" t="s">
        <v>212</v>
      </c>
      <c r="E34" s="8">
        <v>44648</v>
      </c>
      <c r="F34" s="9">
        <v>44655</v>
      </c>
      <c r="G34" s="9">
        <v>44655</v>
      </c>
      <c r="H34" s="3">
        <v>6</v>
      </c>
      <c r="I34" s="7" t="s">
        <v>72</v>
      </c>
      <c r="J34" s="7" t="s">
        <v>71</v>
      </c>
      <c r="K34" s="25" t="s">
        <v>15</v>
      </c>
      <c r="L34" s="10" t="s">
        <v>44</v>
      </c>
      <c r="M34" s="10" t="s">
        <v>49</v>
      </c>
      <c r="N34" s="10" t="s">
        <v>117</v>
      </c>
      <c r="O34" s="6" t="s">
        <v>8</v>
      </c>
      <c r="P34" s="6">
        <v>7</v>
      </c>
      <c r="Q34" s="6" t="s">
        <v>20</v>
      </c>
      <c r="R34" s="44" t="s">
        <v>506</v>
      </c>
    </row>
    <row r="35" spans="1:18" x14ac:dyDescent="0.25">
      <c r="A35" s="6" t="s">
        <v>21</v>
      </c>
      <c r="B35" s="6">
        <v>12301019</v>
      </c>
      <c r="C35" s="6" t="s">
        <v>14</v>
      </c>
      <c r="D35" s="7" t="s">
        <v>220</v>
      </c>
      <c r="E35" s="8">
        <v>44648</v>
      </c>
      <c r="F35" s="9">
        <v>44655</v>
      </c>
      <c r="G35" s="9">
        <v>44655</v>
      </c>
      <c r="H35" s="3">
        <v>6</v>
      </c>
      <c r="I35" s="7" t="s">
        <v>72</v>
      </c>
      <c r="J35" s="7" t="s">
        <v>71</v>
      </c>
      <c r="K35" s="25" t="s">
        <v>15</v>
      </c>
      <c r="L35" s="10" t="s">
        <v>44</v>
      </c>
      <c r="M35" s="10" t="s">
        <v>49</v>
      </c>
      <c r="N35" s="10" t="s">
        <v>117</v>
      </c>
      <c r="O35" s="6" t="s">
        <v>8</v>
      </c>
      <c r="P35" s="6">
        <v>7</v>
      </c>
      <c r="Q35" s="6" t="s">
        <v>20</v>
      </c>
      <c r="R35" s="44" t="s">
        <v>518</v>
      </c>
    </row>
    <row r="36" spans="1:18" x14ac:dyDescent="0.25">
      <c r="A36" s="6" t="s">
        <v>21</v>
      </c>
      <c r="B36" s="6">
        <v>12301331</v>
      </c>
      <c r="C36" s="6" t="s">
        <v>14</v>
      </c>
      <c r="D36" s="7" t="s">
        <v>229</v>
      </c>
      <c r="E36" s="8">
        <v>44648</v>
      </c>
      <c r="F36" s="9">
        <v>44655</v>
      </c>
      <c r="G36" s="9">
        <v>44655</v>
      </c>
      <c r="H36" s="3">
        <v>6</v>
      </c>
      <c r="I36" s="7" t="s">
        <v>72</v>
      </c>
      <c r="J36" s="7" t="s">
        <v>71</v>
      </c>
      <c r="K36" s="25" t="s">
        <v>17</v>
      </c>
      <c r="L36" s="10" t="s">
        <v>44</v>
      </c>
      <c r="M36" s="10" t="s">
        <v>49</v>
      </c>
      <c r="N36" s="10" t="s">
        <v>117</v>
      </c>
      <c r="O36" s="6" t="s">
        <v>8</v>
      </c>
      <c r="P36" s="6">
        <v>7</v>
      </c>
      <c r="Q36" s="6" t="s">
        <v>20</v>
      </c>
      <c r="R36" s="44" t="s">
        <v>508</v>
      </c>
    </row>
    <row r="37" spans="1:18" x14ac:dyDescent="0.25">
      <c r="A37" s="6" t="s">
        <v>21</v>
      </c>
      <c r="B37" s="6">
        <v>12298730</v>
      </c>
      <c r="C37" s="6" t="s">
        <v>14</v>
      </c>
      <c r="D37" s="7" t="s">
        <v>218</v>
      </c>
      <c r="E37" s="8">
        <v>44648</v>
      </c>
      <c r="F37" s="9">
        <v>44655</v>
      </c>
      <c r="G37" s="9">
        <v>44655</v>
      </c>
      <c r="H37" s="3">
        <v>6</v>
      </c>
      <c r="I37" s="7" t="s">
        <v>72</v>
      </c>
      <c r="J37" s="7" t="s">
        <v>71</v>
      </c>
      <c r="K37" s="25" t="s">
        <v>15</v>
      </c>
      <c r="L37" s="10" t="s">
        <v>44</v>
      </c>
      <c r="M37" s="10" t="s">
        <v>49</v>
      </c>
      <c r="N37" s="10" t="s">
        <v>117</v>
      </c>
      <c r="O37" s="6" t="s">
        <v>8</v>
      </c>
      <c r="P37" s="6">
        <v>7</v>
      </c>
      <c r="Q37" s="6" t="s">
        <v>20</v>
      </c>
      <c r="R37" s="44" t="s">
        <v>512</v>
      </c>
    </row>
    <row r="38" spans="1:18" x14ac:dyDescent="0.25">
      <c r="A38" s="6" t="s">
        <v>21</v>
      </c>
      <c r="B38" s="6">
        <v>12300430</v>
      </c>
      <c r="C38" s="6" t="s">
        <v>14</v>
      </c>
      <c r="D38" s="7" t="s">
        <v>227</v>
      </c>
      <c r="E38" s="8">
        <v>44648</v>
      </c>
      <c r="F38" s="9">
        <v>44655</v>
      </c>
      <c r="G38" s="9">
        <v>44655</v>
      </c>
      <c r="H38" s="3">
        <v>6</v>
      </c>
      <c r="I38" s="7" t="s">
        <v>72</v>
      </c>
      <c r="J38" s="7" t="s">
        <v>71</v>
      </c>
      <c r="K38" s="25" t="s">
        <v>17</v>
      </c>
      <c r="L38" s="10" t="s">
        <v>44</v>
      </c>
      <c r="M38" s="10" t="s">
        <v>49</v>
      </c>
      <c r="N38" s="10" t="s">
        <v>117</v>
      </c>
      <c r="O38" s="6" t="s">
        <v>8</v>
      </c>
      <c r="P38" s="6">
        <v>7</v>
      </c>
      <c r="Q38" s="6" t="s">
        <v>20</v>
      </c>
      <c r="R38" s="44" t="s">
        <v>527</v>
      </c>
    </row>
    <row r="39" spans="1:18" x14ac:dyDescent="0.25">
      <c r="A39" s="5" t="s">
        <v>23</v>
      </c>
      <c r="B39" s="5">
        <v>12293628</v>
      </c>
      <c r="C39" s="5" t="s">
        <v>9</v>
      </c>
      <c r="D39" s="7" t="s">
        <v>223</v>
      </c>
      <c r="E39" s="8">
        <v>44648</v>
      </c>
      <c r="F39" s="9">
        <v>44655</v>
      </c>
      <c r="G39" s="9">
        <v>44655</v>
      </c>
      <c r="H39" s="3">
        <v>6</v>
      </c>
      <c r="I39" s="7" t="s">
        <v>72</v>
      </c>
      <c r="J39" s="7" t="s">
        <v>71</v>
      </c>
      <c r="K39" s="25" t="s">
        <v>23</v>
      </c>
      <c r="L39" s="10" t="s">
        <v>44</v>
      </c>
      <c r="M39" s="10" t="s">
        <v>50</v>
      </c>
      <c r="N39" s="10" t="s">
        <v>117</v>
      </c>
      <c r="O39" s="5" t="s">
        <v>8</v>
      </c>
      <c r="P39" s="5">
        <v>6</v>
      </c>
      <c r="Q39" s="5" t="s">
        <v>19</v>
      </c>
      <c r="R39" s="43" t="s">
        <v>247</v>
      </c>
    </row>
    <row r="40" spans="1:18" x14ac:dyDescent="0.25">
      <c r="A40" s="6" t="s">
        <v>15</v>
      </c>
      <c r="B40" s="6">
        <v>12307831</v>
      </c>
      <c r="C40" s="6" t="s">
        <v>9</v>
      </c>
      <c r="D40" s="7" t="s">
        <v>278</v>
      </c>
      <c r="E40" s="8">
        <v>44649</v>
      </c>
      <c r="F40" s="9">
        <v>44656</v>
      </c>
      <c r="G40" s="9">
        <v>44655</v>
      </c>
      <c r="H40" s="3">
        <v>5</v>
      </c>
      <c r="I40" s="7" t="s">
        <v>72</v>
      </c>
      <c r="J40" s="7" t="s">
        <v>71</v>
      </c>
      <c r="K40" s="25" t="s">
        <v>15</v>
      </c>
      <c r="L40" s="10" t="s">
        <v>44</v>
      </c>
      <c r="M40" s="10" t="s">
        <v>47</v>
      </c>
      <c r="N40" s="10" t="s">
        <v>117</v>
      </c>
      <c r="O40" s="6" t="s">
        <v>26</v>
      </c>
      <c r="P40" s="6">
        <v>2</v>
      </c>
      <c r="Q40" s="6" t="s">
        <v>12</v>
      </c>
      <c r="R40" s="44" t="s">
        <v>234</v>
      </c>
    </row>
    <row r="41" spans="1:18" x14ac:dyDescent="0.25">
      <c r="A41" s="6" t="s">
        <v>17</v>
      </c>
      <c r="B41" s="6">
        <v>12310324</v>
      </c>
      <c r="C41" s="6" t="s">
        <v>9</v>
      </c>
      <c r="D41" s="7" t="s">
        <v>279</v>
      </c>
      <c r="E41" s="8">
        <v>44649</v>
      </c>
      <c r="F41" s="9">
        <v>44656</v>
      </c>
      <c r="G41" s="9">
        <v>44655</v>
      </c>
      <c r="H41" s="3">
        <v>5</v>
      </c>
      <c r="I41" s="7" t="s">
        <v>72</v>
      </c>
      <c r="J41" s="7" t="s">
        <v>71</v>
      </c>
      <c r="K41" s="25" t="s">
        <v>17</v>
      </c>
      <c r="L41" s="10" t="s">
        <v>44</v>
      </c>
      <c r="M41" s="10" t="s">
        <v>47</v>
      </c>
      <c r="N41" s="10" t="s">
        <v>117</v>
      </c>
      <c r="O41" s="6" t="s">
        <v>26</v>
      </c>
      <c r="P41" s="6">
        <v>2</v>
      </c>
      <c r="Q41" s="6" t="s">
        <v>12</v>
      </c>
      <c r="R41" s="44" t="s">
        <v>235</v>
      </c>
    </row>
    <row r="42" spans="1:18" x14ac:dyDescent="0.25">
      <c r="A42" s="6" t="s">
        <v>15</v>
      </c>
      <c r="B42" s="6">
        <v>12311658</v>
      </c>
      <c r="C42" s="6" t="s">
        <v>9</v>
      </c>
      <c r="D42" s="7" t="s">
        <v>280</v>
      </c>
      <c r="E42" s="8">
        <v>44649</v>
      </c>
      <c r="F42" s="9">
        <v>44656</v>
      </c>
      <c r="G42" s="9">
        <v>44655</v>
      </c>
      <c r="H42" s="3">
        <v>5</v>
      </c>
      <c r="I42" s="7" t="s">
        <v>72</v>
      </c>
      <c r="J42" s="7" t="s">
        <v>71</v>
      </c>
      <c r="K42" s="25" t="s">
        <v>15</v>
      </c>
      <c r="L42" s="10" t="s">
        <v>44</v>
      </c>
      <c r="M42" s="10" t="s">
        <v>47</v>
      </c>
      <c r="N42" s="10" t="s">
        <v>117</v>
      </c>
      <c r="O42" s="6" t="s">
        <v>26</v>
      </c>
      <c r="P42" s="6">
        <v>2</v>
      </c>
      <c r="Q42" s="6" t="s">
        <v>12</v>
      </c>
      <c r="R42" s="44" t="s">
        <v>236</v>
      </c>
    </row>
    <row r="43" spans="1:18" x14ac:dyDescent="0.25">
      <c r="A43" s="6" t="s">
        <v>17</v>
      </c>
      <c r="B43" s="6">
        <v>12311884</v>
      </c>
      <c r="C43" s="6" t="s">
        <v>9</v>
      </c>
      <c r="D43" s="7" t="s">
        <v>281</v>
      </c>
      <c r="E43" s="8">
        <v>44649</v>
      </c>
      <c r="F43" s="9">
        <v>44656</v>
      </c>
      <c r="G43" s="9">
        <v>44655</v>
      </c>
      <c r="H43" s="3">
        <v>5</v>
      </c>
      <c r="I43" s="7" t="s">
        <v>72</v>
      </c>
      <c r="J43" s="7" t="s">
        <v>71</v>
      </c>
      <c r="K43" s="25" t="s">
        <v>17</v>
      </c>
      <c r="L43" s="10" t="s">
        <v>44</v>
      </c>
      <c r="M43" s="10" t="s">
        <v>47</v>
      </c>
      <c r="N43" s="10" t="s">
        <v>117</v>
      </c>
      <c r="O43" s="6" t="s">
        <v>26</v>
      </c>
      <c r="P43" s="6">
        <v>2</v>
      </c>
      <c r="Q43" s="6" t="s">
        <v>12</v>
      </c>
      <c r="R43" s="44" t="s">
        <v>237</v>
      </c>
    </row>
    <row r="44" spans="1:18" x14ac:dyDescent="0.25">
      <c r="A44" s="6" t="s">
        <v>15</v>
      </c>
      <c r="B44" s="6">
        <v>12314019</v>
      </c>
      <c r="C44" s="6" t="s">
        <v>9</v>
      </c>
      <c r="D44" s="7" t="s">
        <v>282</v>
      </c>
      <c r="E44" s="8">
        <v>44649</v>
      </c>
      <c r="F44" s="9">
        <v>44656</v>
      </c>
      <c r="G44" s="9">
        <v>44655</v>
      </c>
      <c r="H44" s="3">
        <v>5</v>
      </c>
      <c r="I44" s="7" t="s">
        <v>72</v>
      </c>
      <c r="J44" s="7" t="s">
        <v>71</v>
      </c>
      <c r="K44" s="25" t="s">
        <v>15</v>
      </c>
      <c r="L44" s="10" t="s">
        <v>44</v>
      </c>
      <c r="M44" s="10" t="s">
        <v>47</v>
      </c>
      <c r="N44" s="10" t="s">
        <v>117</v>
      </c>
      <c r="O44" s="6" t="s">
        <v>26</v>
      </c>
      <c r="P44" s="6">
        <v>2</v>
      </c>
      <c r="Q44" s="6" t="s">
        <v>12</v>
      </c>
      <c r="R44" s="44" t="s">
        <v>238</v>
      </c>
    </row>
    <row r="45" spans="1:18" x14ac:dyDescent="0.25">
      <c r="A45" s="6" t="s">
        <v>17</v>
      </c>
      <c r="B45" s="6">
        <v>12314490</v>
      </c>
      <c r="C45" s="6" t="s">
        <v>9</v>
      </c>
      <c r="D45" s="7" t="s">
        <v>283</v>
      </c>
      <c r="E45" s="8">
        <v>44649</v>
      </c>
      <c r="F45" s="9">
        <v>44656</v>
      </c>
      <c r="G45" s="9">
        <v>44655</v>
      </c>
      <c r="H45" s="3">
        <v>5</v>
      </c>
      <c r="I45" s="7" t="s">
        <v>72</v>
      </c>
      <c r="J45" s="7" t="s">
        <v>71</v>
      </c>
      <c r="K45" s="25" t="s">
        <v>17</v>
      </c>
      <c r="L45" s="10" t="s">
        <v>44</v>
      </c>
      <c r="M45" s="10" t="s">
        <v>47</v>
      </c>
      <c r="N45" s="10" t="s">
        <v>117</v>
      </c>
      <c r="O45" s="6" t="s">
        <v>26</v>
      </c>
      <c r="P45" s="6">
        <v>2</v>
      </c>
      <c r="Q45" s="6" t="s">
        <v>12</v>
      </c>
      <c r="R45" s="44" t="s">
        <v>239</v>
      </c>
    </row>
    <row r="46" spans="1:18" x14ac:dyDescent="0.25">
      <c r="A46" s="6" t="s">
        <v>137</v>
      </c>
      <c r="B46" s="6">
        <v>12302152</v>
      </c>
      <c r="C46" s="6" t="s">
        <v>14</v>
      </c>
      <c r="D46" s="7" t="s">
        <v>287</v>
      </c>
      <c r="E46" s="8">
        <v>44649</v>
      </c>
      <c r="F46" s="9">
        <v>44656</v>
      </c>
      <c r="G46" s="9">
        <v>44655</v>
      </c>
      <c r="H46" s="3">
        <v>5</v>
      </c>
      <c r="I46" s="7" t="s">
        <v>72</v>
      </c>
      <c r="J46" s="7" t="s">
        <v>71</v>
      </c>
      <c r="K46" s="25" t="s">
        <v>137</v>
      </c>
      <c r="L46" s="10" t="s">
        <v>44</v>
      </c>
      <c r="M46" s="10" t="s">
        <v>49</v>
      </c>
      <c r="N46" s="10" t="s">
        <v>117</v>
      </c>
      <c r="O46" s="6" t="s">
        <v>8</v>
      </c>
      <c r="P46" s="6">
        <v>7</v>
      </c>
      <c r="Q46" s="6" t="s">
        <v>20</v>
      </c>
      <c r="R46" s="44" t="s">
        <v>389</v>
      </c>
    </row>
    <row r="47" spans="1:18" x14ac:dyDescent="0.25">
      <c r="A47" s="6" t="s">
        <v>23</v>
      </c>
      <c r="B47" s="6">
        <v>12301789</v>
      </c>
      <c r="C47" s="6" t="s">
        <v>9</v>
      </c>
      <c r="D47" s="7" t="s">
        <v>284</v>
      </c>
      <c r="E47" s="8">
        <v>44649</v>
      </c>
      <c r="F47" s="9">
        <v>44656</v>
      </c>
      <c r="G47" s="9">
        <v>44655</v>
      </c>
      <c r="H47" s="3">
        <v>5</v>
      </c>
      <c r="I47" s="7" t="s">
        <v>72</v>
      </c>
      <c r="J47" s="7" t="s">
        <v>71</v>
      </c>
      <c r="K47" s="25" t="s">
        <v>15</v>
      </c>
      <c r="L47" s="10" t="s">
        <v>44</v>
      </c>
      <c r="M47" s="10" t="s">
        <v>50</v>
      </c>
      <c r="N47" s="10" t="s">
        <v>117</v>
      </c>
      <c r="O47" s="6" t="s">
        <v>8</v>
      </c>
      <c r="P47" s="6">
        <v>6</v>
      </c>
      <c r="Q47" s="6" t="s">
        <v>19</v>
      </c>
      <c r="R47" s="44" t="s">
        <v>662</v>
      </c>
    </row>
    <row r="48" spans="1:18" x14ac:dyDescent="0.25">
      <c r="A48" s="6" t="s">
        <v>15</v>
      </c>
      <c r="B48" s="6">
        <v>12307238</v>
      </c>
      <c r="C48" s="6" t="s">
        <v>14</v>
      </c>
      <c r="D48" s="7" t="s">
        <v>299</v>
      </c>
      <c r="E48" s="8">
        <v>44649</v>
      </c>
      <c r="F48" s="9">
        <v>44656</v>
      </c>
      <c r="G48" s="9">
        <v>44655</v>
      </c>
      <c r="H48" s="3">
        <v>5</v>
      </c>
      <c r="I48" s="7" t="s">
        <v>72</v>
      </c>
      <c r="J48" s="7" t="s">
        <v>71</v>
      </c>
      <c r="K48" s="25" t="s">
        <v>15</v>
      </c>
      <c r="L48" s="10" t="s">
        <v>44</v>
      </c>
      <c r="M48" s="10" t="s">
        <v>47</v>
      </c>
      <c r="N48" s="10" t="s">
        <v>117</v>
      </c>
      <c r="O48" s="6" t="s">
        <v>8</v>
      </c>
      <c r="P48" s="6">
        <v>2</v>
      </c>
      <c r="Q48" s="6" t="s">
        <v>12</v>
      </c>
      <c r="R48" s="44" t="s">
        <v>250</v>
      </c>
    </row>
    <row r="49" spans="1:18" x14ac:dyDescent="0.25">
      <c r="A49" s="6" t="s">
        <v>17</v>
      </c>
      <c r="B49" s="6">
        <v>12138759</v>
      </c>
      <c r="C49" s="6" t="s">
        <v>7</v>
      </c>
      <c r="D49" s="7" t="s">
        <v>297</v>
      </c>
      <c r="E49" s="8">
        <v>44649</v>
      </c>
      <c r="F49" s="9">
        <v>44656</v>
      </c>
      <c r="G49" s="9">
        <v>44655</v>
      </c>
      <c r="H49" s="3">
        <v>5</v>
      </c>
      <c r="I49" s="7" t="s">
        <v>72</v>
      </c>
      <c r="J49" s="7" t="s">
        <v>71</v>
      </c>
      <c r="K49" s="25" t="s">
        <v>17</v>
      </c>
      <c r="L49" s="10" t="s">
        <v>44</v>
      </c>
      <c r="M49" s="10" t="s">
        <v>47</v>
      </c>
      <c r="N49" s="10" t="s">
        <v>117</v>
      </c>
      <c r="O49" s="6" t="s">
        <v>8</v>
      </c>
      <c r="P49" s="6">
        <v>2</v>
      </c>
      <c r="Q49" s="6" t="s">
        <v>12</v>
      </c>
      <c r="R49" s="44" t="s">
        <v>665</v>
      </c>
    </row>
    <row r="50" spans="1:18" x14ac:dyDescent="0.25">
      <c r="A50" s="6" t="s">
        <v>23</v>
      </c>
      <c r="B50" s="6">
        <v>12311913</v>
      </c>
      <c r="C50" s="6" t="s">
        <v>9</v>
      </c>
      <c r="D50" s="7" t="s">
        <v>312</v>
      </c>
      <c r="E50" s="8">
        <v>44649</v>
      </c>
      <c r="F50" s="9">
        <v>44656</v>
      </c>
      <c r="G50" s="9">
        <v>44655</v>
      </c>
      <c r="H50" s="3">
        <v>5</v>
      </c>
      <c r="I50" s="7" t="s">
        <v>72</v>
      </c>
      <c r="J50" s="7" t="s">
        <v>71</v>
      </c>
      <c r="K50" s="25" t="s">
        <v>17</v>
      </c>
      <c r="L50" s="10" t="s">
        <v>44</v>
      </c>
      <c r="M50" s="10" t="s">
        <v>50</v>
      </c>
      <c r="N50" s="10" t="s">
        <v>117</v>
      </c>
      <c r="O50" s="6" t="s">
        <v>8</v>
      </c>
      <c r="P50" s="6">
        <v>6</v>
      </c>
      <c r="Q50" s="6" t="s">
        <v>19</v>
      </c>
      <c r="R50" s="44" t="s">
        <v>352</v>
      </c>
    </row>
    <row r="51" spans="1:18" x14ac:dyDescent="0.25">
      <c r="A51" s="6" t="s">
        <v>76</v>
      </c>
      <c r="B51" s="6">
        <v>12310514</v>
      </c>
      <c r="C51" s="6" t="s">
        <v>9</v>
      </c>
      <c r="D51" s="7" t="s">
        <v>307</v>
      </c>
      <c r="E51" s="8">
        <v>44649</v>
      </c>
      <c r="F51" s="9">
        <v>44656</v>
      </c>
      <c r="G51" s="9">
        <v>44655</v>
      </c>
      <c r="H51" s="3">
        <v>5</v>
      </c>
      <c r="I51" s="7" t="s">
        <v>72</v>
      </c>
      <c r="J51" s="7" t="s">
        <v>71</v>
      </c>
      <c r="K51" s="25" t="s">
        <v>15</v>
      </c>
      <c r="L51" s="10" t="s">
        <v>44</v>
      </c>
      <c r="M51" s="10" t="s">
        <v>47</v>
      </c>
      <c r="N51" s="10" t="s">
        <v>117</v>
      </c>
      <c r="O51" s="6" t="s">
        <v>8</v>
      </c>
      <c r="P51" s="6">
        <v>2</v>
      </c>
      <c r="Q51" s="6" t="s">
        <v>12</v>
      </c>
      <c r="R51" s="44" t="s">
        <v>253</v>
      </c>
    </row>
    <row r="52" spans="1:18" x14ac:dyDescent="0.25">
      <c r="A52" s="6" t="s">
        <v>17</v>
      </c>
      <c r="B52" s="6">
        <v>12305012</v>
      </c>
      <c r="C52" s="6" t="s">
        <v>7</v>
      </c>
      <c r="D52" s="7" t="s">
        <v>294</v>
      </c>
      <c r="E52" s="8">
        <v>44649</v>
      </c>
      <c r="F52" s="9">
        <v>44656</v>
      </c>
      <c r="G52" s="9">
        <v>44655</v>
      </c>
      <c r="H52" s="3">
        <v>5</v>
      </c>
      <c r="I52" s="7" t="s">
        <v>72</v>
      </c>
      <c r="J52" s="7" t="s">
        <v>71</v>
      </c>
      <c r="K52" s="25" t="s">
        <v>17</v>
      </c>
      <c r="L52" s="10" t="s">
        <v>44</v>
      </c>
      <c r="M52" s="10" t="s">
        <v>66</v>
      </c>
      <c r="N52" s="10" t="s">
        <v>117</v>
      </c>
      <c r="O52" s="6" t="s">
        <v>8</v>
      </c>
      <c r="P52" s="6">
        <v>5</v>
      </c>
      <c r="Q52" s="6" t="s">
        <v>10</v>
      </c>
      <c r="R52" s="44" t="s">
        <v>676</v>
      </c>
    </row>
    <row r="53" spans="1:18" x14ac:dyDescent="0.25">
      <c r="A53" s="6" t="s">
        <v>137</v>
      </c>
      <c r="B53" s="6">
        <v>12310514</v>
      </c>
      <c r="C53" s="6" t="s">
        <v>24</v>
      </c>
      <c r="D53" s="7" t="s">
        <v>307</v>
      </c>
      <c r="E53" s="8">
        <v>44649</v>
      </c>
      <c r="F53" s="9">
        <v>44656</v>
      </c>
      <c r="G53" s="9">
        <v>44655</v>
      </c>
      <c r="H53" s="3">
        <v>5</v>
      </c>
      <c r="I53" s="7" t="s">
        <v>72</v>
      </c>
      <c r="J53" s="7" t="s">
        <v>71</v>
      </c>
      <c r="K53" s="25" t="s">
        <v>15</v>
      </c>
      <c r="L53" s="10" t="s">
        <v>44</v>
      </c>
      <c r="M53" s="10" t="s">
        <v>47</v>
      </c>
      <c r="N53" s="10" t="s">
        <v>117</v>
      </c>
      <c r="O53" s="6" t="s">
        <v>8</v>
      </c>
      <c r="P53" s="6">
        <v>2</v>
      </c>
      <c r="Q53" s="6" t="s">
        <v>12</v>
      </c>
      <c r="R53" s="44" t="s">
        <v>253</v>
      </c>
    </row>
    <row r="54" spans="1:18" x14ac:dyDescent="0.25">
      <c r="A54" s="6" t="s">
        <v>23</v>
      </c>
      <c r="B54" s="6">
        <v>12313829</v>
      </c>
      <c r="C54" s="6" t="s">
        <v>9</v>
      </c>
      <c r="D54" s="7" t="s">
        <v>325</v>
      </c>
      <c r="E54" s="8">
        <v>44649</v>
      </c>
      <c r="F54" s="9">
        <v>44656</v>
      </c>
      <c r="G54" s="9">
        <v>44655</v>
      </c>
      <c r="H54" s="3">
        <v>5</v>
      </c>
      <c r="I54" s="7" t="s">
        <v>72</v>
      </c>
      <c r="J54" s="7" t="s">
        <v>71</v>
      </c>
      <c r="K54" s="25" t="s">
        <v>17</v>
      </c>
      <c r="L54" s="10" t="s">
        <v>44</v>
      </c>
      <c r="M54" s="10" t="s">
        <v>50</v>
      </c>
      <c r="N54" s="10" t="s">
        <v>117</v>
      </c>
      <c r="O54" s="6" t="s">
        <v>8</v>
      </c>
      <c r="P54" s="6">
        <v>6</v>
      </c>
      <c r="Q54" s="6" t="s">
        <v>19</v>
      </c>
      <c r="R54" s="44" t="s">
        <v>688</v>
      </c>
    </row>
    <row r="55" spans="1:18" x14ac:dyDescent="0.25">
      <c r="A55" s="6" t="s">
        <v>23</v>
      </c>
      <c r="B55" s="6">
        <v>12313143</v>
      </c>
      <c r="C55" s="6" t="s">
        <v>9</v>
      </c>
      <c r="D55" s="7" t="s">
        <v>322</v>
      </c>
      <c r="E55" s="8">
        <v>44649</v>
      </c>
      <c r="F55" s="9">
        <v>44656</v>
      </c>
      <c r="G55" s="9">
        <v>44655</v>
      </c>
      <c r="H55" s="3">
        <v>5</v>
      </c>
      <c r="I55" s="7" t="s">
        <v>72</v>
      </c>
      <c r="J55" s="7" t="s">
        <v>71</v>
      </c>
      <c r="K55" s="25" t="s">
        <v>17</v>
      </c>
      <c r="L55" s="10" t="s">
        <v>44</v>
      </c>
      <c r="M55" s="10" t="s">
        <v>50</v>
      </c>
      <c r="N55" s="10" t="s">
        <v>117</v>
      </c>
      <c r="O55" s="6" t="s">
        <v>8</v>
      </c>
      <c r="P55" s="6">
        <v>6</v>
      </c>
      <c r="Q55" s="6" t="s">
        <v>19</v>
      </c>
      <c r="R55" s="44" t="s">
        <v>697</v>
      </c>
    </row>
    <row r="56" spans="1:18" x14ac:dyDescent="0.25">
      <c r="A56" s="6" t="s">
        <v>21</v>
      </c>
      <c r="B56" s="6">
        <v>12301843</v>
      </c>
      <c r="C56" s="6" t="s">
        <v>14</v>
      </c>
      <c r="D56" s="7" t="s">
        <v>286</v>
      </c>
      <c r="E56" s="8">
        <v>44649</v>
      </c>
      <c r="F56" s="9">
        <v>44656</v>
      </c>
      <c r="G56" s="9">
        <v>44655</v>
      </c>
      <c r="H56" s="3">
        <v>5</v>
      </c>
      <c r="I56" s="7" t="s">
        <v>72</v>
      </c>
      <c r="J56" s="7" t="s">
        <v>71</v>
      </c>
      <c r="K56" s="25" t="s">
        <v>17</v>
      </c>
      <c r="L56" s="10" t="s">
        <v>44</v>
      </c>
      <c r="M56" s="10" t="s">
        <v>49</v>
      </c>
      <c r="N56" s="10" t="s">
        <v>117</v>
      </c>
      <c r="O56" s="6" t="s">
        <v>8</v>
      </c>
      <c r="P56" s="6">
        <v>7</v>
      </c>
      <c r="Q56" s="6" t="s">
        <v>20</v>
      </c>
      <c r="R56" s="44" t="s">
        <v>511</v>
      </c>
    </row>
    <row r="57" spans="1:18" x14ac:dyDescent="0.25">
      <c r="A57" s="6" t="s">
        <v>21</v>
      </c>
      <c r="B57" s="6">
        <v>12303513</v>
      </c>
      <c r="C57" s="6" t="s">
        <v>14</v>
      </c>
      <c r="D57" s="7" t="s">
        <v>288</v>
      </c>
      <c r="E57" s="8">
        <v>44649</v>
      </c>
      <c r="F57" s="9">
        <v>44656</v>
      </c>
      <c r="G57" s="9">
        <v>44655</v>
      </c>
      <c r="H57" s="3">
        <v>5</v>
      </c>
      <c r="I57" s="7" t="s">
        <v>72</v>
      </c>
      <c r="J57" s="7" t="s">
        <v>71</v>
      </c>
      <c r="K57" s="25" t="s">
        <v>17</v>
      </c>
      <c r="L57" s="10" t="s">
        <v>44</v>
      </c>
      <c r="M57" s="10" t="s">
        <v>49</v>
      </c>
      <c r="N57" s="10" t="s">
        <v>117</v>
      </c>
      <c r="O57" s="6" t="s">
        <v>8</v>
      </c>
      <c r="P57" s="6">
        <v>7</v>
      </c>
      <c r="Q57" s="6" t="s">
        <v>20</v>
      </c>
      <c r="R57" s="44" t="s">
        <v>513</v>
      </c>
    </row>
    <row r="58" spans="1:18" x14ac:dyDescent="0.25">
      <c r="A58" s="6" t="s">
        <v>21</v>
      </c>
      <c r="B58" s="6">
        <v>12303883</v>
      </c>
      <c r="C58" s="6" t="s">
        <v>14</v>
      </c>
      <c r="D58" s="7" t="s">
        <v>290</v>
      </c>
      <c r="E58" s="8">
        <v>44649</v>
      </c>
      <c r="F58" s="9">
        <v>44656</v>
      </c>
      <c r="G58" s="9">
        <v>44655</v>
      </c>
      <c r="H58" s="3">
        <v>5</v>
      </c>
      <c r="I58" s="7" t="s">
        <v>72</v>
      </c>
      <c r="J58" s="7" t="s">
        <v>71</v>
      </c>
      <c r="K58" s="25" t="s">
        <v>17</v>
      </c>
      <c r="L58" s="10" t="s">
        <v>44</v>
      </c>
      <c r="M58" s="10" t="s">
        <v>49</v>
      </c>
      <c r="N58" s="10" t="s">
        <v>117</v>
      </c>
      <c r="O58" s="6" t="s">
        <v>8</v>
      </c>
      <c r="P58" s="6">
        <v>7</v>
      </c>
      <c r="Q58" s="6" t="s">
        <v>20</v>
      </c>
      <c r="R58" s="44" t="s">
        <v>515</v>
      </c>
    </row>
    <row r="59" spans="1:18" x14ac:dyDescent="0.25">
      <c r="A59" s="5" t="s">
        <v>21</v>
      </c>
      <c r="B59" s="5">
        <v>12307359</v>
      </c>
      <c r="C59" s="5" t="s">
        <v>14</v>
      </c>
      <c r="D59" s="7" t="s">
        <v>300</v>
      </c>
      <c r="E59" s="8">
        <v>44649</v>
      </c>
      <c r="F59" s="9">
        <v>44656</v>
      </c>
      <c r="G59" s="9">
        <v>44655</v>
      </c>
      <c r="H59" s="3">
        <v>5</v>
      </c>
      <c r="I59" s="7" t="s">
        <v>72</v>
      </c>
      <c r="J59" s="7" t="s">
        <v>71</v>
      </c>
      <c r="K59" s="25" t="s">
        <v>17</v>
      </c>
      <c r="L59" s="10" t="s">
        <v>44</v>
      </c>
      <c r="M59" s="10" t="s">
        <v>49</v>
      </c>
      <c r="N59" s="10" t="s">
        <v>117</v>
      </c>
      <c r="O59" s="5" t="s">
        <v>8</v>
      </c>
      <c r="P59" s="5">
        <v>7</v>
      </c>
      <c r="Q59" s="5" t="s">
        <v>20</v>
      </c>
      <c r="R59" s="43" t="s">
        <v>521</v>
      </c>
    </row>
    <row r="60" spans="1:18" x14ac:dyDescent="0.25">
      <c r="A60" s="6" t="s">
        <v>21</v>
      </c>
      <c r="B60" s="6">
        <v>12307627</v>
      </c>
      <c r="C60" s="6" t="s">
        <v>14</v>
      </c>
      <c r="D60" s="7" t="s">
        <v>301</v>
      </c>
      <c r="E60" s="8">
        <v>44649</v>
      </c>
      <c r="F60" s="9">
        <v>44656</v>
      </c>
      <c r="G60" s="9">
        <v>44655</v>
      </c>
      <c r="H60" s="3">
        <v>5</v>
      </c>
      <c r="I60" s="7" t="s">
        <v>72</v>
      </c>
      <c r="J60" s="7" t="s">
        <v>71</v>
      </c>
      <c r="K60" s="25" t="s">
        <v>17</v>
      </c>
      <c r="L60" s="10" t="s">
        <v>44</v>
      </c>
      <c r="M60" s="10" t="s">
        <v>49</v>
      </c>
      <c r="N60" s="10" t="s">
        <v>117</v>
      </c>
      <c r="O60" s="6" t="s">
        <v>8</v>
      </c>
      <c r="P60" s="6">
        <v>7</v>
      </c>
      <c r="Q60" s="6" t="s">
        <v>20</v>
      </c>
      <c r="R60" s="44" t="s">
        <v>531</v>
      </c>
    </row>
    <row r="61" spans="1:18" x14ac:dyDescent="0.25">
      <c r="A61" s="6" t="s">
        <v>21</v>
      </c>
      <c r="B61" s="6">
        <v>12307953</v>
      </c>
      <c r="C61" s="6" t="s">
        <v>14</v>
      </c>
      <c r="D61" s="7" t="s">
        <v>302</v>
      </c>
      <c r="E61" s="8">
        <v>44649</v>
      </c>
      <c r="F61" s="9">
        <v>44656</v>
      </c>
      <c r="G61" s="9">
        <v>44655</v>
      </c>
      <c r="H61" s="3">
        <v>5</v>
      </c>
      <c r="I61" s="7" t="s">
        <v>72</v>
      </c>
      <c r="J61" s="7" t="s">
        <v>71</v>
      </c>
      <c r="K61" s="25" t="s">
        <v>17</v>
      </c>
      <c r="L61" s="10" t="s">
        <v>44</v>
      </c>
      <c r="M61" s="10" t="s">
        <v>49</v>
      </c>
      <c r="N61" s="10" t="s">
        <v>117</v>
      </c>
      <c r="O61" s="6" t="s">
        <v>8</v>
      </c>
      <c r="P61" s="6">
        <v>7</v>
      </c>
      <c r="Q61" s="6" t="s">
        <v>20</v>
      </c>
      <c r="R61" s="44" t="s">
        <v>542</v>
      </c>
    </row>
    <row r="62" spans="1:18" x14ac:dyDescent="0.25">
      <c r="A62" s="6" t="s">
        <v>21</v>
      </c>
      <c r="B62" s="6">
        <v>12312527</v>
      </c>
      <c r="C62" s="6" t="s">
        <v>14</v>
      </c>
      <c r="D62" s="7" t="s">
        <v>319</v>
      </c>
      <c r="E62" s="8">
        <v>44649</v>
      </c>
      <c r="F62" s="9">
        <v>44656</v>
      </c>
      <c r="G62" s="9">
        <v>44655</v>
      </c>
      <c r="H62" s="3">
        <v>5</v>
      </c>
      <c r="I62" s="7" t="s">
        <v>72</v>
      </c>
      <c r="J62" s="7" t="s">
        <v>71</v>
      </c>
      <c r="K62" s="25" t="s">
        <v>75</v>
      </c>
      <c r="L62" s="10" t="s">
        <v>44</v>
      </c>
      <c r="M62" s="10" t="s">
        <v>49</v>
      </c>
      <c r="N62" s="10" t="s">
        <v>117</v>
      </c>
      <c r="O62" s="6" t="s">
        <v>8</v>
      </c>
      <c r="P62" s="6">
        <v>7</v>
      </c>
      <c r="Q62" s="6" t="s">
        <v>20</v>
      </c>
      <c r="R62" s="44" t="s">
        <v>357</v>
      </c>
    </row>
    <row r="63" spans="1:18" x14ac:dyDescent="0.25">
      <c r="A63" s="6" t="s">
        <v>21</v>
      </c>
      <c r="B63" s="6">
        <v>12304100</v>
      </c>
      <c r="C63" s="6" t="s">
        <v>14</v>
      </c>
      <c r="D63" s="7" t="s">
        <v>291</v>
      </c>
      <c r="E63" s="8">
        <v>44649</v>
      </c>
      <c r="F63" s="9">
        <v>44656</v>
      </c>
      <c r="G63" s="9">
        <v>44655</v>
      </c>
      <c r="H63" s="3">
        <v>5</v>
      </c>
      <c r="I63" s="7" t="s">
        <v>72</v>
      </c>
      <c r="J63" s="7" t="s">
        <v>71</v>
      </c>
      <c r="K63" s="25" t="s">
        <v>15</v>
      </c>
      <c r="L63" s="10" t="s">
        <v>44</v>
      </c>
      <c r="M63" s="10" t="s">
        <v>49</v>
      </c>
      <c r="N63" s="10" t="s">
        <v>117</v>
      </c>
      <c r="O63" s="6" t="s">
        <v>8</v>
      </c>
      <c r="P63" s="6">
        <v>7</v>
      </c>
      <c r="Q63" s="6" t="s">
        <v>20</v>
      </c>
      <c r="R63" s="44" t="s">
        <v>733</v>
      </c>
    </row>
    <row r="64" spans="1:18" x14ac:dyDescent="0.25">
      <c r="A64" s="6" t="s">
        <v>21</v>
      </c>
      <c r="B64" s="6">
        <v>12302951</v>
      </c>
      <c r="C64" s="6" t="s">
        <v>14</v>
      </c>
      <c r="D64" s="7" t="s">
        <v>285</v>
      </c>
      <c r="E64" s="8">
        <v>44649</v>
      </c>
      <c r="F64" s="9">
        <v>44656</v>
      </c>
      <c r="G64" s="9">
        <v>44655</v>
      </c>
      <c r="H64" s="3">
        <v>5</v>
      </c>
      <c r="I64" s="7" t="s">
        <v>72</v>
      </c>
      <c r="J64" s="7" t="s">
        <v>71</v>
      </c>
      <c r="K64" s="25" t="s">
        <v>23</v>
      </c>
      <c r="L64" s="10" t="s">
        <v>44</v>
      </c>
      <c r="M64" s="10" t="s">
        <v>49</v>
      </c>
      <c r="N64" s="10" t="s">
        <v>117</v>
      </c>
      <c r="O64" s="6" t="s">
        <v>8</v>
      </c>
      <c r="P64" s="6">
        <v>7</v>
      </c>
      <c r="Q64" s="6" t="s">
        <v>20</v>
      </c>
      <c r="R64" s="44" t="s">
        <v>734</v>
      </c>
    </row>
    <row r="65" spans="1:18" x14ac:dyDescent="0.25">
      <c r="A65" s="5" t="s">
        <v>21</v>
      </c>
      <c r="B65" s="5">
        <v>12313893</v>
      </c>
      <c r="C65" s="5" t="s">
        <v>14</v>
      </c>
      <c r="D65" s="7" t="s">
        <v>327</v>
      </c>
      <c r="E65" s="8">
        <v>44649</v>
      </c>
      <c r="F65" s="9">
        <v>44656</v>
      </c>
      <c r="G65" s="9">
        <v>44655</v>
      </c>
      <c r="H65" s="3">
        <v>5</v>
      </c>
      <c r="I65" s="7" t="s">
        <v>72</v>
      </c>
      <c r="J65" s="7" t="s">
        <v>71</v>
      </c>
      <c r="K65" s="25" t="s">
        <v>15</v>
      </c>
      <c r="L65" s="10" t="s">
        <v>44</v>
      </c>
      <c r="M65" s="10" t="s">
        <v>49</v>
      </c>
      <c r="N65" s="10" t="s">
        <v>117</v>
      </c>
      <c r="O65" s="5" t="s">
        <v>8</v>
      </c>
      <c r="P65" s="5">
        <v>7</v>
      </c>
      <c r="Q65" s="5" t="s">
        <v>20</v>
      </c>
      <c r="R65" s="43" t="s">
        <v>737</v>
      </c>
    </row>
    <row r="66" spans="1:18" x14ac:dyDescent="0.25">
      <c r="A66" s="6" t="s">
        <v>21</v>
      </c>
      <c r="B66" s="6">
        <v>12312508</v>
      </c>
      <c r="C66" s="6" t="s">
        <v>14</v>
      </c>
      <c r="D66" s="7" t="s">
        <v>315</v>
      </c>
      <c r="E66" s="8">
        <v>44649</v>
      </c>
      <c r="F66" s="9">
        <v>44656</v>
      </c>
      <c r="G66" s="9">
        <v>44655</v>
      </c>
      <c r="H66" s="3">
        <v>5</v>
      </c>
      <c r="I66" s="7" t="s">
        <v>72</v>
      </c>
      <c r="J66" s="7" t="s">
        <v>71</v>
      </c>
      <c r="K66" s="25" t="s">
        <v>15</v>
      </c>
      <c r="L66" s="10" t="s">
        <v>44</v>
      </c>
      <c r="M66" s="10" t="s">
        <v>49</v>
      </c>
      <c r="N66" s="10" t="s">
        <v>117</v>
      </c>
      <c r="O66" s="6" t="s">
        <v>8</v>
      </c>
      <c r="P66" s="6">
        <v>7</v>
      </c>
      <c r="Q66" s="6" t="s">
        <v>20</v>
      </c>
      <c r="R66" s="44" t="s">
        <v>738</v>
      </c>
    </row>
    <row r="67" spans="1:18" x14ac:dyDescent="0.25">
      <c r="A67" s="5" t="s">
        <v>21</v>
      </c>
      <c r="B67" s="5">
        <v>12312525</v>
      </c>
      <c r="C67" s="5" t="s">
        <v>14</v>
      </c>
      <c r="D67" s="7" t="s">
        <v>317</v>
      </c>
      <c r="E67" s="8">
        <v>44649</v>
      </c>
      <c r="F67" s="9">
        <v>44656</v>
      </c>
      <c r="G67" s="9">
        <v>44655</v>
      </c>
      <c r="H67" s="3">
        <v>5</v>
      </c>
      <c r="I67" s="7" t="s">
        <v>72</v>
      </c>
      <c r="J67" s="7" t="s">
        <v>71</v>
      </c>
      <c r="K67" s="25" t="s">
        <v>15</v>
      </c>
      <c r="L67" s="10" t="s">
        <v>44</v>
      </c>
      <c r="M67" s="10" t="s">
        <v>49</v>
      </c>
      <c r="N67" s="10" t="s">
        <v>117</v>
      </c>
      <c r="O67" s="5" t="s">
        <v>8</v>
      </c>
      <c r="P67" s="5">
        <v>7</v>
      </c>
      <c r="Q67" s="5" t="s">
        <v>20</v>
      </c>
      <c r="R67" s="43" t="s">
        <v>739</v>
      </c>
    </row>
    <row r="68" spans="1:18" x14ac:dyDescent="0.25">
      <c r="A68" s="6" t="s">
        <v>21</v>
      </c>
      <c r="B68" s="6">
        <v>12312593</v>
      </c>
      <c r="C68" s="6" t="s">
        <v>14</v>
      </c>
      <c r="D68" s="7" t="s">
        <v>320</v>
      </c>
      <c r="E68" s="8">
        <v>44649</v>
      </c>
      <c r="F68" s="9">
        <v>44656</v>
      </c>
      <c r="G68" s="9">
        <v>44655</v>
      </c>
      <c r="H68" s="3">
        <v>5</v>
      </c>
      <c r="I68" s="7" t="s">
        <v>72</v>
      </c>
      <c r="J68" s="7" t="s">
        <v>71</v>
      </c>
      <c r="K68" s="25" t="s">
        <v>15</v>
      </c>
      <c r="L68" s="10" t="s">
        <v>44</v>
      </c>
      <c r="M68" s="10" t="s">
        <v>49</v>
      </c>
      <c r="N68" s="10" t="s">
        <v>117</v>
      </c>
      <c r="O68" s="6" t="s">
        <v>8</v>
      </c>
      <c r="P68" s="6">
        <v>7</v>
      </c>
      <c r="Q68" s="6" t="s">
        <v>20</v>
      </c>
      <c r="R68" s="44" t="s">
        <v>740</v>
      </c>
    </row>
    <row r="69" spans="1:18" x14ac:dyDescent="0.25">
      <c r="A69" s="6" t="s">
        <v>21</v>
      </c>
      <c r="B69" s="6">
        <v>12312526</v>
      </c>
      <c r="C69" s="6" t="s">
        <v>14</v>
      </c>
      <c r="D69" s="7" t="s">
        <v>318</v>
      </c>
      <c r="E69" s="8">
        <v>44649</v>
      </c>
      <c r="F69" s="9">
        <v>44656</v>
      </c>
      <c r="G69" s="9">
        <v>44655</v>
      </c>
      <c r="H69" s="3">
        <v>5</v>
      </c>
      <c r="I69" s="7" t="s">
        <v>72</v>
      </c>
      <c r="J69" s="7" t="s">
        <v>71</v>
      </c>
      <c r="K69" s="25" t="s">
        <v>17</v>
      </c>
      <c r="L69" s="10" t="s">
        <v>44</v>
      </c>
      <c r="M69" s="10" t="s">
        <v>49</v>
      </c>
      <c r="N69" s="10" t="s">
        <v>117</v>
      </c>
      <c r="O69" s="6" t="s">
        <v>8</v>
      </c>
      <c r="P69" s="6">
        <v>7</v>
      </c>
      <c r="Q69" s="6" t="s">
        <v>20</v>
      </c>
      <c r="R69" s="44" t="s">
        <v>743</v>
      </c>
    </row>
    <row r="70" spans="1:18" x14ac:dyDescent="0.25">
      <c r="A70" s="6" t="s">
        <v>21</v>
      </c>
      <c r="B70" s="6">
        <v>12304713</v>
      </c>
      <c r="C70" s="6" t="s">
        <v>14</v>
      </c>
      <c r="D70" s="7" t="s">
        <v>293</v>
      </c>
      <c r="E70" s="8">
        <v>44649</v>
      </c>
      <c r="F70" s="9">
        <v>44656</v>
      </c>
      <c r="G70" s="9">
        <v>44655</v>
      </c>
      <c r="H70" s="3">
        <v>5</v>
      </c>
      <c r="I70" s="7" t="s">
        <v>72</v>
      </c>
      <c r="J70" s="7" t="s">
        <v>71</v>
      </c>
      <c r="K70" s="25" t="s">
        <v>15</v>
      </c>
      <c r="L70" s="10" t="s">
        <v>44</v>
      </c>
      <c r="M70" s="10" t="s">
        <v>49</v>
      </c>
      <c r="N70" s="10" t="s">
        <v>117</v>
      </c>
      <c r="O70" s="6" t="s">
        <v>8</v>
      </c>
      <c r="P70" s="6">
        <v>7</v>
      </c>
      <c r="Q70" s="6" t="s">
        <v>20</v>
      </c>
      <c r="R70" s="44" t="s">
        <v>747</v>
      </c>
    </row>
    <row r="71" spans="1:18" x14ac:dyDescent="0.25">
      <c r="A71" s="5" t="s">
        <v>21</v>
      </c>
      <c r="B71" s="5">
        <v>12314401</v>
      </c>
      <c r="C71" s="5" t="s">
        <v>14</v>
      </c>
      <c r="D71" s="7" t="s">
        <v>333</v>
      </c>
      <c r="E71" s="8">
        <v>44649</v>
      </c>
      <c r="F71" s="9">
        <v>44656</v>
      </c>
      <c r="G71" s="9">
        <v>44655</v>
      </c>
      <c r="H71" s="3">
        <v>5</v>
      </c>
      <c r="I71" s="7" t="s">
        <v>72</v>
      </c>
      <c r="J71" s="7" t="s">
        <v>71</v>
      </c>
      <c r="K71" s="25" t="s">
        <v>15</v>
      </c>
      <c r="L71" s="10" t="s">
        <v>44</v>
      </c>
      <c r="M71" s="10" t="s">
        <v>49</v>
      </c>
      <c r="N71" s="10" t="s">
        <v>117</v>
      </c>
      <c r="O71" s="5" t="s">
        <v>8</v>
      </c>
      <c r="P71" s="5">
        <v>7</v>
      </c>
      <c r="Q71" s="5" t="s">
        <v>20</v>
      </c>
      <c r="R71" s="43" t="s">
        <v>748</v>
      </c>
    </row>
    <row r="72" spans="1:18" x14ac:dyDescent="0.25">
      <c r="A72" s="6" t="s">
        <v>21</v>
      </c>
      <c r="B72" s="6">
        <v>12313990</v>
      </c>
      <c r="C72" s="6" t="s">
        <v>14</v>
      </c>
      <c r="D72" s="7" t="s">
        <v>330</v>
      </c>
      <c r="E72" s="8">
        <v>44649</v>
      </c>
      <c r="F72" s="9">
        <v>44656</v>
      </c>
      <c r="G72" s="9">
        <v>44655</v>
      </c>
      <c r="H72" s="3">
        <v>5</v>
      </c>
      <c r="I72" s="7" t="s">
        <v>72</v>
      </c>
      <c r="J72" s="7" t="s">
        <v>71</v>
      </c>
      <c r="K72" s="25" t="s">
        <v>17</v>
      </c>
      <c r="L72" s="10" t="s">
        <v>44</v>
      </c>
      <c r="M72" s="10" t="s">
        <v>49</v>
      </c>
      <c r="N72" s="10" t="s">
        <v>117</v>
      </c>
      <c r="O72" s="6" t="s">
        <v>8</v>
      </c>
      <c r="P72" s="6">
        <v>7</v>
      </c>
      <c r="Q72" s="6" t="s">
        <v>20</v>
      </c>
      <c r="R72" s="44" t="s">
        <v>752</v>
      </c>
    </row>
    <row r="73" spans="1:18" x14ac:dyDescent="0.25">
      <c r="A73" s="6" t="s">
        <v>21</v>
      </c>
      <c r="B73" s="6">
        <v>12310536</v>
      </c>
      <c r="C73" s="6" t="s">
        <v>14</v>
      </c>
      <c r="D73" s="7" t="s">
        <v>308</v>
      </c>
      <c r="E73" s="8">
        <v>44649</v>
      </c>
      <c r="F73" s="9">
        <v>44656</v>
      </c>
      <c r="G73" s="9">
        <v>44655</v>
      </c>
      <c r="H73" s="3">
        <v>5</v>
      </c>
      <c r="I73" s="7" t="s">
        <v>72</v>
      </c>
      <c r="J73" s="7" t="s">
        <v>71</v>
      </c>
      <c r="K73" s="25" t="s">
        <v>17</v>
      </c>
      <c r="L73" s="10" t="s">
        <v>44</v>
      </c>
      <c r="M73" s="10" t="s">
        <v>49</v>
      </c>
      <c r="N73" s="10" t="s">
        <v>117</v>
      </c>
      <c r="O73" s="6" t="s">
        <v>8</v>
      </c>
      <c r="P73" s="6">
        <v>7</v>
      </c>
      <c r="Q73" s="6" t="s">
        <v>20</v>
      </c>
      <c r="R73" s="44" t="s">
        <v>754</v>
      </c>
    </row>
    <row r="74" spans="1:18" x14ac:dyDescent="0.25">
      <c r="A74" s="5" t="s">
        <v>21</v>
      </c>
      <c r="B74" s="5">
        <v>12311436</v>
      </c>
      <c r="C74" s="5" t="s">
        <v>14</v>
      </c>
      <c r="D74" s="7" t="s">
        <v>311</v>
      </c>
      <c r="E74" s="8">
        <v>44649</v>
      </c>
      <c r="F74" s="9">
        <v>44656</v>
      </c>
      <c r="G74" s="9">
        <v>44655</v>
      </c>
      <c r="H74" s="3">
        <v>5</v>
      </c>
      <c r="I74" s="7" t="s">
        <v>72</v>
      </c>
      <c r="J74" s="7" t="s">
        <v>71</v>
      </c>
      <c r="K74" s="25" t="s">
        <v>17</v>
      </c>
      <c r="L74" s="10" t="s">
        <v>44</v>
      </c>
      <c r="M74" s="10" t="s">
        <v>49</v>
      </c>
      <c r="N74" s="10" t="s">
        <v>117</v>
      </c>
      <c r="O74" s="5" t="s">
        <v>8</v>
      </c>
      <c r="P74" s="5">
        <v>7</v>
      </c>
      <c r="Q74" s="5" t="s">
        <v>20</v>
      </c>
      <c r="R74" s="43" t="s">
        <v>755</v>
      </c>
    </row>
    <row r="75" spans="1:18" x14ac:dyDescent="0.25">
      <c r="A75" s="6" t="s">
        <v>21</v>
      </c>
      <c r="B75" s="6">
        <v>12313978</v>
      </c>
      <c r="C75" s="6" t="s">
        <v>14</v>
      </c>
      <c r="D75" s="7" t="s">
        <v>328</v>
      </c>
      <c r="E75" s="8">
        <v>44649</v>
      </c>
      <c r="F75" s="9">
        <v>44656</v>
      </c>
      <c r="G75" s="9">
        <v>44655</v>
      </c>
      <c r="H75" s="3">
        <v>5</v>
      </c>
      <c r="I75" s="7" t="s">
        <v>72</v>
      </c>
      <c r="J75" s="7" t="s">
        <v>71</v>
      </c>
      <c r="K75" s="25" t="s">
        <v>17</v>
      </c>
      <c r="L75" s="10" t="s">
        <v>44</v>
      </c>
      <c r="M75" s="10" t="s">
        <v>49</v>
      </c>
      <c r="N75" s="10" t="s">
        <v>117</v>
      </c>
      <c r="O75" s="6" t="s">
        <v>8</v>
      </c>
      <c r="P75" s="6">
        <v>7</v>
      </c>
      <c r="Q75" s="6" t="s">
        <v>20</v>
      </c>
      <c r="R75" s="44" t="s">
        <v>759</v>
      </c>
    </row>
    <row r="76" spans="1:18" x14ac:dyDescent="0.25">
      <c r="A76" s="6" t="s">
        <v>21</v>
      </c>
      <c r="B76" s="6">
        <v>12304139</v>
      </c>
      <c r="C76" s="6" t="s">
        <v>14</v>
      </c>
      <c r="D76" s="7" t="s">
        <v>292</v>
      </c>
      <c r="E76" s="8">
        <v>44649</v>
      </c>
      <c r="F76" s="9">
        <v>44656</v>
      </c>
      <c r="G76" s="9">
        <v>44655</v>
      </c>
      <c r="H76" s="3">
        <v>5</v>
      </c>
      <c r="I76" s="7" t="s">
        <v>72</v>
      </c>
      <c r="J76" s="7" t="s">
        <v>71</v>
      </c>
      <c r="K76" s="25" t="s">
        <v>15</v>
      </c>
      <c r="L76" s="10" t="s">
        <v>44</v>
      </c>
      <c r="M76" s="10" t="s">
        <v>49</v>
      </c>
      <c r="N76" s="10" t="s">
        <v>117</v>
      </c>
      <c r="O76" s="6" t="s">
        <v>8</v>
      </c>
      <c r="P76" s="6">
        <v>7</v>
      </c>
      <c r="Q76" s="6" t="s">
        <v>20</v>
      </c>
      <c r="R76" s="44" t="s">
        <v>563</v>
      </c>
    </row>
    <row r="77" spans="1:18" x14ac:dyDescent="0.25">
      <c r="A77" s="6" t="s">
        <v>21</v>
      </c>
      <c r="B77" s="6">
        <v>12306597</v>
      </c>
      <c r="C77" s="6" t="s">
        <v>14</v>
      </c>
      <c r="D77" s="7" t="s">
        <v>298</v>
      </c>
      <c r="E77" s="8">
        <v>44649</v>
      </c>
      <c r="F77" s="9">
        <v>44656</v>
      </c>
      <c r="G77" s="9">
        <v>44655</v>
      </c>
      <c r="H77" s="3">
        <v>5</v>
      </c>
      <c r="I77" s="7" t="s">
        <v>72</v>
      </c>
      <c r="J77" s="7" t="s">
        <v>71</v>
      </c>
      <c r="K77" s="25" t="s">
        <v>15</v>
      </c>
      <c r="L77" s="10" t="s">
        <v>44</v>
      </c>
      <c r="M77" s="10" t="s">
        <v>49</v>
      </c>
      <c r="N77" s="10" t="s">
        <v>117</v>
      </c>
      <c r="O77" s="6" t="s">
        <v>8</v>
      </c>
      <c r="P77" s="6">
        <v>7</v>
      </c>
      <c r="Q77" s="6" t="s">
        <v>20</v>
      </c>
      <c r="R77" s="44" t="s">
        <v>501</v>
      </c>
    </row>
    <row r="78" spans="1:18" x14ac:dyDescent="0.25">
      <c r="A78" s="6" t="s">
        <v>21</v>
      </c>
      <c r="B78" s="6">
        <v>12309041</v>
      </c>
      <c r="C78" s="6" t="s">
        <v>14</v>
      </c>
      <c r="D78" s="7" t="s">
        <v>303</v>
      </c>
      <c r="E78" s="8">
        <v>44649</v>
      </c>
      <c r="F78" s="9">
        <v>44656</v>
      </c>
      <c r="G78" s="9">
        <v>44655</v>
      </c>
      <c r="H78" s="3">
        <v>5</v>
      </c>
      <c r="I78" s="7" t="s">
        <v>72</v>
      </c>
      <c r="J78" s="7" t="s">
        <v>71</v>
      </c>
      <c r="K78" s="25" t="s">
        <v>23</v>
      </c>
      <c r="L78" s="10" t="s">
        <v>44</v>
      </c>
      <c r="M78" s="10" t="s">
        <v>49</v>
      </c>
      <c r="N78" s="10" t="s">
        <v>117</v>
      </c>
      <c r="O78" s="6" t="s">
        <v>8</v>
      </c>
      <c r="P78" s="6">
        <v>7</v>
      </c>
      <c r="Q78" s="6" t="s">
        <v>20</v>
      </c>
      <c r="R78" s="44" t="s">
        <v>766</v>
      </c>
    </row>
    <row r="79" spans="1:18" x14ac:dyDescent="0.25">
      <c r="A79" s="5" t="s">
        <v>21</v>
      </c>
      <c r="B79" s="5">
        <v>12303880</v>
      </c>
      <c r="C79" s="5" t="s">
        <v>14</v>
      </c>
      <c r="D79" s="7" t="s">
        <v>289</v>
      </c>
      <c r="E79" s="8">
        <v>44649</v>
      </c>
      <c r="F79" s="9">
        <v>44656</v>
      </c>
      <c r="G79" s="9">
        <v>44655</v>
      </c>
      <c r="H79" s="3">
        <v>5</v>
      </c>
      <c r="I79" s="7" t="s">
        <v>72</v>
      </c>
      <c r="J79" s="7" t="s">
        <v>71</v>
      </c>
      <c r="K79" s="25" t="s">
        <v>15</v>
      </c>
      <c r="L79" s="10" t="s">
        <v>44</v>
      </c>
      <c r="M79" s="10" t="s">
        <v>49</v>
      </c>
      <c r="N79" s="10" t="s">
        <v>117</v>
      </c>
      <c r="O79" s="5" t="s">
        <v>8</v>
      </c>
      <c r="P79" s="5">
        <v>7</v>
      </c>
      <c r="Q79" s="5" t="s">
        <v>20</v>
      </c>
      <c r="R79" s="43" t="s">
        <v>767</v>
      </c>
    </row>
    <row r="80" spans="1:18" x14ac:dyDescent="0.25">
      <c r="A80" s="6" t="s">
        <v>21</v>
      </c>
      <c r="B80" s="6">
        <v>12310145</v>
      </c>
      <c r="C80" s="6" t="s">
        <v>14</v>
      </c>
      <c r="D80" s="7" t="s">
        <v>305</v>
      </c>
      <c r="E80" s="8">
        <v>44649</v>
      </c>
      <c r="F80" s="9">
        <v>44656</v>
      </c>
      <c r="G80" s="9">
        <v>44655</v>
      </c>
      <c r="H80" s="3">
        <v>5</v>
      </c>
      <c r="I80" s="7" t="s">
        <v>72</v>
      </c>
      <c r="J80" s="7" t="s">
        <v>71</v>
      </c>
      <c r="K80" s="25" t="s">
        <v>15</v>
      </c>
      <c r="L80" s="10" t="s">
        <v>44</v>
      </c>
      <c r="M80" s="10" t="s">
        <v>49</v>
      </c>
      <c r="N80" s="10" t="s">
        <v>117</v>
      </c>
      <c r="O80" s="6" t="s">
        <v>8</v>
      </c>
      <c r="P80" s="6">
        <v>7</v>
      </c>
      <c r="Q80" s="6" t="s">
        <v>20</v>
      </c>
      <c r="R80" s="44" t="s">
        <v>769</v>
      </c>
    </row>
    <row r="81" spans="1:18" x14ac:dyDescent="0.25">
      <c r="A81" s="5" t="s">
        <v>21</v>
      </c>
      <c r="B81" s="5">
        <v>12313808</v>
      </c>
      <c r="C81" s="5" t="s">
        <v>14</v>
      </c>
      <c r="D81" s="7" t="s">
        <v>324</v>
      </c>
      <c r="E81" s="8">
        <v>44649</v>
      </c>
      <c r="F81" s="9">
        <v>44656</v>
      </c>
      <c r="G81" s="9">
        <v>44655</v>
      </c>
      <c r="H81" s="3">
        <v>5</v>
      </c>
      <c r="I81" s="7" t="s">
        <v>72</v>
      </c>
      <c r="J81" s="7" t="s">
        <v>71</v>
      </c>
      <c r="K81" s="25" t="s">
        <v>15</v>
      </c>
      <c r="L81" s="10" t="s">
        <v>44</v>
      </c>
      <c r="M81" s="10" t="s">
        <v>49</v>
      </c>
      <c r="N81" s="10" t="s">
        <v>117</v>
      </c>
      <c r="O81" s="5" t="s">
        <v>8</v>
      </c>
      <c r="P81" s="5">
        <v>7</v>
      </c>
      <c r="Q81" s="5" t="s">
        <v>20</v>
      </c>
      <c r="R81" s="43" t="s">
        <v>771</v>
      </c>
    </row>
    <row r="82" spans="1:18" x14ac:dyDescent="0.25">
      <c r="A82" s="6" t="s">
        <v>21</v>
      </c>
      <c r="B82" s="6">
        <v>12312362</v>
      </c>
      <c r="C82" s="6" t="s">
        <v>14</v>
      </c>
      <c r="D82" s="7" t="s">
        <v>314</v>
      </c>
      <c r="E82" s="8">
        <v>44649</v>
      </c>
      <c r="F82" s="9">
        <v>44656</v>
      </c>
      <c r="G82" s="9">
        <v>44655</v>
      </c>
      <c r="H82" s="3">
        <v>5</v>
      </c>
      <c r="I82" s="7" t="s">
        <v>72</v>
      </c>
      <c r="J82" s="7" t="s">
        <v>71</v>
      </c>
      <c r="K82" s="25" t="s">
        <v>17</v>
      </c>
      <c r="L82" s="10" t="s">
        <v>44</v>
      </c>
      <c r="M82" s="10" t="s">
        <v>49</v>
      </c>
      <c r="N82" s="10" t="s">
        <v>117</v>
      </c>
      <c r="O82" s="6" t="s">
        <v>8</v>
      </c>
      <c r="P82" s="6">
        <v>7</v>
      </c>
      <c r="Q82" s="6" t="s">
        <v>20</v>
      </c>
      <c r="R82" s="44" t="s">
        <v>773</v>
      </c>
    </row>
    <row r="83" spans="1:18" x14ac:dyDescent="0.25">
      <c r="A83" s="6" t="s">
        <v>21</v>
      </c>
      <c r="B83" s="6">
        <v>12312509</v>
      </c>
      <c r="C83" s="6" t="s">
        <v>14</v>
      </c>
      <c r="D83" s="7" t="s">
        <v>316</v>
      </c>
      <c r="E83" s="8">
        <v>44649</v>
      </c>
      <c r="F83" s="9">
        <v>44656</v>
      </c>
      <c r="G83" s="9">
        <v>44655</v>
      </c>
      <c r="H83" s="3">
        <v>5</v>
      </c>
      <c r="I83" s="7" t="s">
        <v>72</v>
      </c>
      <c r="J83" s="7" t="s">
        <v>71</v>
      </c>
      <c r="K83" s="25" t="s">
        <v>17</v>
      </c>
      <c r="L83" s="10" t="s">
        <v>44</v>
      </c>
      <c r="M83" s="10" t="s">
        <v>49</v>
      </c>
      <c r="N83" s="10" t="s">
        <v>117</v>
      </c>
      <c r="O83" s="6" t="s">
        <v>8</v>
      </c>
      <c r="P83" s="6">
        <v>7</v>
      </c>
      <c r="Q83" s="6" t="s">
        <v>20</v>
      </c>
      <c r="R83" s="44" t="s">
        <v>774</v>
      </c>
    </row>
    <row r="84" spans="1:18" x14ac:dyDescent="0.25">
      <c r="A84" s="6" t="s">
        <v>21</v>
      </c>
      <c r="B84" s="6">
        <v>12305640</v>
      </c>
      <c r="C84" s="6" t="s">
        <v>14</v>
      </c>
      <c r="D84" s="7" t="s">
        <v>296</v>
      </c>
      <c r="E84" s="8">
        <v>44649</v>
      </c>
      <c r="F84" s="9">
        <v>44656</v>
      </c>
      <c r="G84" s="9">
        <v>44655</v>
      </c>
      <c r="H84" s="3">
        <v>5</v>
      </c>
      <c r="I84" s="7" t="s">
        <v>72</v>
      </c>
      <c r="J84" s="7" t="s">
        <v>71</v>
      </c>
      <c r="K84" s="25" t="s">
        <v>17</v>
      </c>
      <c r="L84" s="10" t="s">
        <v>44</v>
      </c>
      <c r="M84" s="10" t="s">
        <v>49</v>
      </c>
      <c r="N84" s="10" t="s">
        <v>117</v>
      </c>
      <c r="O84" s="6" t="s">
        <v>8</v>
      </c>
      <c r="P84" s="6">
        <v>7</v>
      </c>
      <c r="Q84" s="6" t="s">
        <v>20</v>
      </c>
      <c r="R84" s="44" t="s">
        <v>777</v>
      </c>
    </row>
    <row r="85" spans="1:18" x14ac:dyDescent="0.25">
      <c r="A85" s="6" t="s">
        <v>21</v>
      </c>
      <c r="B85" s="6">
        <v>12314122</v>
      </c>
      <c r="C85" s="6" t="s">
        <v>14</v>
      </c>
      <c r="D85" s="7" t="s">
        <v>332</v>
      </c>
      <c r="E85" s="8">
        <v>44649</v>
      </c>
      <c r="F85" s="9">
        <v>44656</v>
      </c>
      <c r="G85" s="9">
        <v>44655</v>
      </c>
      <c r="H85" s="3">
        <v>5</v>
      </c>
      <c r="I85" s="7" t="s">
        <v>72</v>
      </c>
      <c r="J85" s="7" t="s">
        <v>71</v>
      </c>
      <c r="K85" s="25" t="s">
        <v>17</v>
      </c>
      <c r="L85" s="10" t="s">
        <v>44</v>
      </c>
      <c r="M85" s="10" t="s">
        <v>49</v>
      </c>
      <c r="N85" s="10" t="s">
        <v>117</v>
      </c>
      <c r="O85" s="6" t="s">
        <v>8</v>
      </c>
      <c r="P85" s="6">
        <v>7</v>
      </c>
      <c r="Q85" s="6" t="s">
        <v>20</v>
      </c>
      <c r="R85" s="44" t="s">
        <v>778</v>
      </c>
    </row>
    <row r="86" spans="1:18" x14ac:dyDescent="0.25">
      <c r="A86" s="6" t="s">
        <v>21</v>
      </c>
      <c r="B86" s="6">
        <v>12314058</v>
      </c>
      <c r="C86" s="6" t="s">
        <v>14</v>
      </c>
      <c r="D86" s="7" t="s">
        <v>331</v>
      </c>
      <c r="E86" s="8">
        <v>44649</v>
      </c>
      <c r="F86" s="9">
        <v>44656</v>
      </c>
      <c r="G86" s="9">
        <v>44655</v>
      </c>
      <c r="H86" s="3">
        <v>5</v>
      </c>
      <c r="I86" s="7" t="s">
        <v>72</v>
      </c>
      <c r="J86" s="7" t="s">
        <v>71</v>
      </c>
      <c r="K86" s="25" t="s">
        <v>15</v>
      </c>
      <c r="L86" s="10" t="s">
        <v>44</v>
      </c>
      <c r="M86" s="10" t="s">
        <v>49</v>
      </c>
      <c r="N86" s="10" t="s">
        <v>117</v>
      </c>
      <c r="O86" s="6" t="s">
        <v>8</v>
      </c>
      <c r="P86" s="6">
        <v>7</v>
      </c>
      <c r="Q86" s="6" t="s">
        <v>20</v>
      </c>
      <c r="R86" s="44" t="s">
        <v>779</v>
      </c>
    </row>
    <row r="87" spans="1:18" x14ac:dyDescent="0.25">
      <c r="A87" s="6" t="s">
        <v>21</v>
      </c>
      <c r="B87" s="6">
        <v>12314517</v>
      </c>
      <c r="C87" s="6" t="s">
        <v>14</v>
      </c>
      <c r="D87" s="7" t="s">
        <v>334</v>
      </c>
      <c r="E87" s="8">
        <v>44649</v>
      </c>
      <c r="F87" s="9">
        <v>44656</v>
      </c>
      <c r="G87" s="9">
        <v>44655</v>
      </c>
      <c r="H87" s="3">
        <v>5</v>
      </c>
      <c r="I87" s="7" t="s">
        <v>72</v>
      </c>
      <c r="J87" s="7" t="s">
        <v>71</v>
      </c>
      <c r="K87" s="25" t="s">
        <v>17</v>
      </c>
      <c r="L87" s="10" t="s">
        <v>44</v>
      </c>
      <c r="M87" s="10" t="s">
        <v>49</v>
      </c>
      <c r="N87" s="10" t="s">
        <v>117</v>
      </c>
      <c r="O87" s="6" t="s">
        <v>8</v>
      </c>
      <c r="P87" s="6">
        <v>7</v>
      </c>
      <c r="Q87" s="6" t="s">
        <v>20</v>
      </c>
      <c r="R87" s="44" t="s">
        <v>780</v>
      </c>
    </row>
    <row r="88" spans="1:18" x14ac:dyDescent="0.25">
      <c r="A88" s="6" t="s">
        <v>21</v>
      </c>
      <c r="B88" s="6">
        <v>12311328</v>
      </c>
      <c r="C88" s="6" t="s">
        <v>14</v>
      </c>
      <c r="D88" s="7" t="s">
        <v>310</v>
      </c>
      <c r="E88" s="8">
        <v>44649</v>
      </c>
      <c r="F88" s="9">
        <v>44656</v>
      </c>
      <c r="G88" s="9">
        <v>44655</v>
      </c>
      <c r="H88" s="3">
        <v>5</v>
      </c>
      <c r="I88" s="7" t="s">
        <v>72</v>
      </c>
      <c r="J88" s="7" t="s">
        <v>71</v>
      </c>
      <c r="K88" s="25" t="s">
        <v>15</v>
      </c>
      <c r="L88" s="10" t="s">
        <v>44</v>
      </c>
      <c r="M88" s="10" t="s">
        <v>49</v>
      </c>
      <c r="N88" s="10" t="s">
        <v>117</v>
      </c>
      <c r="O88" s="6" t="s">
        <v>8</v>
      </c>
      <c r="P88" s="6">
        <v>7</v>
      </c>
      <c r="Q88" s="6" t="s">
        <v>20</v>
      </c>
      <c r="R88" s="44" t="s">
        <v>785</v>
      </c>
    </row>
    <row r="89" spans="1:18" x14ac:dyDescent="0.25">
      <c r="A89" s="6" t="s">
        <v>23</v>
      </c>
      <c r="B89" s="6">
        <v>12287034</v>
      </c>
      <c r="C89" s="6" t="s">
        <v>9</v>
      </c>
      <c r="D89" s="7" t="s">
        <v>201</v>
      </c>
      <c r="E89" s="8">
        <v>44649</v>
      </c>
      <c r="F89" s="9">
        <v>44656</v>
      </c>
      <c r="G89" s="9">
        <v>44655</v>
      </c>
      <c r="H89" s="3">
        <v>5</v>
      </c>
      <c r="I89" s="7" t="s">
        <v>72</v>
      </c>
      <c r="J89" s="7" t="s">
        <v>71</v>
      </c>
      <c r="K89" s="25" t="s">
        <v>23</v>
      </c>
      <c r="L89" s="10" t="s">
        <v>44</v>
      </c>
      <c r="M89" s="10" t="s">
        <v>50</v>
      </c>
      <c r="N89" s="10" t="s">
        <v>117</v>
      </c>
      <c r="O89" s="6" t="s">
        <v>8</v>
      </c>
      <c r="P89" s="6">
        <v>6</v>
      </c>
      <c r="Q89" s="6" t="s">
        <v>19</v>
      </c>
      <c r="R89" s="44" t="s">
        <v>251</v>
      </c>
    </row>
    <row r="90" spans="1:18" x14ac:dyDescent="0.25">
      <c r="A90" s="5" t="s">
        <v>23</v>
      </c>
      <c r="B90" s="5">
        <v>12207439</v>
      </c>
      <c r="C90" s="5" t="s">
        <v>9</v>
      </c>
      <c r="D90" s="7" t="s">
        <v>321</v>
      </c>
      <c r="E90" s="8">
        <v>44649</v>
      </c>
      <c r="F90" s="9">
        <v>44656</v>
      </c>
      <c r="G90" s="9">
        <v>44655</v>
      </c>
      <c r="H90" s="3">
        <v>5</v>
      </c>
      <c r="I90" s="7" t="s">
        <v>72</v>
      </c>
      <c r="J90" s="7" t="s">
        <v>71</v>
      </c>
      <c r="K90" s="25" t="s">
        <v>23</v>
      </c>
      <c r="L90" s="10" t="s">
        <v>44</v>
      </c>
      <c r="M90" s="10" t="s">
        <v>50</v>
      </c>
      <c r="N90" s="10" t="s">
        <v>117</v>
      </c>
      <c r="O90" s="5" t="s">
        <v>8</v>
      </c>
      <c r="P90" s="5">
        <v>6</v>
      </c>
      <c r="Q90" s="5" t="s">
        <v>19</v>
      </c>
      <c r="R90" s="43" t="s">
        <v>264</v>
      </c>
    </row>
    <row r="91" spans="1:18" x14ac:dyDescent="0.25">
      <c r="A91" s="6" t="s">
        <v>75</v>
      </c>
      <c r="B91" s="6">
        <v>12313626</v>
      </c>
      <c r="C91" s="6" t="s">
        <v>9</v>
      </c>
      <c r="D91" s="7" t="s">
        <v>323</v>
      </c>
      <c r="E91" s="8">
        <v>44649</v>
      </c>
      <c r="F91" s="9">
        <v>44656</v>
      </c>
      <c r="G91" s="9">
        <v>44655</v>
      </c>
      <c r="H91" s="3">
        <v>5</v>
      </c>
      <c r="I91" s="7" t="s">
        <v>72</v>
      </c>
      <c r="J91" s="7" t="s">
        <v>71</v>
      </c>
      <c r="K91" s="25" t="s">
        <v>75</v>
      </c>
      <c r="L91" s="10" t="s">
        <v>44</v>
      </c>
      <c r="M91" s="10" t="s">
        <v>47</v>
      </c>
      <c r="N91" s="10" t="s">
        <v>117</v>
      </c>
      <c r="O91" s="6" t="s">
        <v>8</v>
      </c>
      <c r="P91" s="6">
        <v>2</v>
      </c>
      <c r="Q91" s="6" t="s">
        <v>12</v>
      </c>
      <c r="R91" s="44" t="s">
        <v>266</v>
      </c>
    </row>
    <row r="92" spans="1:18" x14ac:dyDescent="0.25">
      <c r="A92" s="6" t="s">
        <v>17</v>
      </c>
      <c r="B92" s="6">
        <v>12320071</v>
      </c>
      <c r="C92" s="6" t="s">
        <v>9</v>
      </c>
      <c r="D92" s="7" t="s">
        <v>408</v>
      </c>
      <c r="E92" s="8">
        <v>44650</v>
      </c>
      <c r="F92" s="9">
        <v>44657</v>
      </c>
      <c r="G92" s="9">
        <v>44655</v>
      </c>
      <c r="H92" s="3">
        <v>4</v>
      </c>
      <c r="I92" s="7" t="s">
        <v>72</v>
      </c>
      <c r="J92" s="7" t="s">
        <v>71</v>
      </c>
      <c r="K92" s="25" t="s">
        <v>17</v>
      </c>
      <c r="L92" s="10" t="s">
        <v>44</v>
      </c>
      <c r="M92" s="10" t="s">
        <v>47</v>
      </c>
      <c r="N92" s="10" t="s">
        <v>117</v>
      </c>
      <c r="O92" s="6" t="s">
        <v>26</v>
      </c>
      <c r="P92" s="6">
        <v>2</v>
      </c>
      <c r="Q92" s="6" t="s">
        <v>12</v>
      </c>
      <c r="R92" s="44" t="s">
        <v>340</v>
      </c>
    </row>
    <row r="93" spans="1:18" x14ac:dyDescent="0.25">
      <c r="A93" s="6" t="s">
        <v>17</v>
      </c>
      <c r="B93" s="6">
        <v>12323012</v>
      </c>
      <c r="C93" s="6" t="s">
        <v>9</v>
      </c>
      <c r="D93" s="7" t="s">
        <v>411</v>
      </c>
      <c r="E93" s="8">
        <v>44650</v>
      </c>
      <c r="F93" s="9">
        <v>44657</v>
      </c>
      <c r="G93" s="9">
        <v>44655</v>
      </c>
      <c r="H93" s="3">
        <v>4</v>
      </c>
      <c r="I93" s="7" t="s">
        <v>72</v>
      </c>
      <c r="J93" s="7" t="s">
        <v>71</v>
      </c>
      <c r="K93" s="25" t="s">
        <v>17</v>
      </c>
      <c r="L93" s="10" t="s">
        <v>44</v>
      </c>
      <c r="M93" s="10" t="s">
        <v>47</v>
      </c>
      <c r="N93" s="10" t="s">
        <v>117</v>
      </c>
      <c r="O93" s="6" t="s">
        <v>26</v>
      </c>
      <c r="P93" s="6">
        <v>2</v>
      </c>
      <c r="Q93" s="6" t="s">
        <v>12</v>
      </c>
      <c r="R93" s="44" t="s">
        <v>343</v>
      </c>
    </row>
    <row r="94" spans="1:18" x14ac:dyDescent="0.25">
      <c r="A94" s="6" t="s">
        <v>17</v>
      </c>
      <c r="B94" s="6">
        <v>12316893</v>
      </c>
      <c r="C94" s="6" t="s">
        <v>9</v>
      </c>
      <c r="D94" s="7" t="s">
        <v>405</v>
      </c>
      <c r="E94" s="8">
        <v>44650</v>
      </c>
      <c r="F94" s="9">
        <v>44657</v>
      </c>
      <c r="G94" s="9">
        <v>44655</v>
      </c>
      <c r="H94" s="3">
        <v>4</v>
      </c>
      <c r="I94" s="7" t="s">
        <v>72</v>
      </c>
      <c r="J94" s="7" t="s">
        <v>71</v>
      </c>
      <c r="K94" s="25" t="s">
        <v>17</v>
      </c>
      <c r="L94" s="10" t="s">
        <v>44</v>
      </c>
      <c r="M94" s="10" t="s">
        <v>47</v>
      </c>
      <c r="N94" s="10" t="s">
        <v>117</v>
      </c>
      <c r="O94" s="6" t="s">
        <v>26</v>
      </c>
      <c r="P94" s="6">
        <v>2</v>
      </c>
      <c r="Q94" s="6" t="s">
        <v>12</v>
      </c>
      <c r="R94" s="44" t="s">
        <v>337</v>
      </c>
    </row>
    <row r="95" spans="1:18" x14ac:dyDescent="0.25">
      <c r="A95" s="6" t="s">
        <v>17</v>
      </c>
      <c r="B95" s="6">
        <v>12317781</v>
      </c>
      <c r="C95" s="6" t="s">
        <v>9</v>
      </c>
      <c r="D95" s="7" t="s">
        <v>407</v>
      </c>
      <c r="E95" s="8">
        <v>44650</v>
      </c>
      <c r="F95" s="9">
        <v>44657</v>
      </c>
      <c r="G95" s="9">
        <v>44655</v>
      </c>
      <c r="H95" s="3">
        <v>4</v>
      </c>
      <c r="I95" s="7" t="s">
        <v>72</v>
      </c>
      <c r="J95" s="7" t="s">
        <v>71</v>
      </c>
      <c r="K95" s="25" t="s">
        <v>17</v>
      </c>
      <c r="L95" s="10" t="s">
        <v>44</v>
      </c>
      <c r="M95" s="10" t="s">
        <v>47</v>
      </c>
      <c r="N95" s="10" t="s">
        <v>117</v>
      </c>
      <c r="O95" s="6" t="s">
        <v>26</v>
      </c>
      <c r="P95" s="6">
        <v>2</v>
      </c>
      <c r="Q95" s="6" t="s">
        <v>12</v>
      </c>
      <c r="R95" s="44" t="s">
        <v>339</v>
      </c>
    </row>
    <row r="96" spans="1:18" x14ac:dyDescent="0.25">
      <c r="A96" s="5" t="s">
        <v>15</v>
      </c>
      <c r="B96" s="5">
        <v>12324671</v>
      </c>
      <c r="C96" s="5" t="s">
        <v>9</v>
      </c>
      <c r="D96" s="7" t="s">
        <v>412</v>
      </c>
      <c r="E96" s="8">
        <v>44650</v>
      </c>
      <c r="F96" s="9">
        <v>44657</v>
      </c>
      <c r="G96" s="9">
        <v>44655</v>
      </c>
      <c r="H96" s="3">
        <v>4</v>
      </c>
      <c r="I96" s="7" t="s">
        <v>72</v>
      </c>
      <c r="J96" s="7" t="s">
        <v>71</v>
      </c>
      <c r="K96" s="25" t="s">
        <v>15</v>
      </c>
      <c r="L96" s="10" t="s">
        <v>44</v>
      </c>
      <c r="M96" s="10" t="s">
        <v>47</v>
      </c>
      <c r="N96" s="10" t="s">
        <v>117</v>
      </c>
      <c r="O96" s="5" t="s">
        <v>26</v>
      </c>
      <c r="P96" s="5">
        <v>2</v>
      </c>
      <c r="Q96" s="5" t="s">
        <v>12</v>
      </c>
      <c r="R96" s="43" t="s">
        <v>344</v>
      </c>
    </row>
    <row r="97" spans="1:18" x14ac:dyDescent="0.25">
      <c r="A97" s="6" t="s">
        <v>23</v>
      </c>
      <c r="B97" s="6">
        <v>12320142</v>
      </c>
      <c r="C97" s="6" t="s">
        <v>9</v>
      </c>
      <c r="D97" s="7" t="s">
        <v>421</v>
      </c>
      <c r="E97" s="8">
        <v>44650</v>
      </c>
      <c r="F97" s="9">
        <v>44657</v>
      </c>
      <c r="G97" s="9">
        <v>44655</v>
      </c>
      <c r="H97" s="3">
        <v>4</v>
      </c>
      <c r="I97" s="7" t="s">
        <v>72</v>
      </c>
      <c r="J97" s="7" t="s">
        <v>71</v>
      </c>
      <c r="K97" s="25" t="s">
        <v>23</v>
      </c>
      <c r="L97" s="10" t="s">
        <v>44</v>
      </c>
      <c r="M97" s="10" t="s">
        <v>50</v>
      </c>
      <c r="N97" s="10" t="s">
        <v>117</v>
      </c>
      <c r="O97" s="6" t="s">
        <v>8</v>
      </c>
      <c r="P97" s="6">
        <v>6</v>
      </c>
      <c r="Q97" s="6" t="s">
        <v>19</v>
      </c>
      <c r="R97" s="44" t="s">
        <v>672</v>
      </c>
    </row>
    <row r="98" spans="1:18" x14ac:dyDescent="0.25">
      <c r="A98" s="6" t="s">
        <v>23</v>
      </c>
      <c r="B98" s="6">
        <v>12322011</v>
      </c>
      <c r="C98" s="6" t="s">
        <v>9</v>
      </c>
      <c r="D98" s="7" t="s">
        <v>424</v>
      </c>
      <c r="E98" s="8">
        <v>44650</v>
      </c>
      <c r="F98" s="9">
        <v>44657</v>
      </c>
      <c r="G98" s="9">
        <v>44655</v>
      </c>
      <c r="H98" s="3">
        <v>4</v>
      </c>
      <c r="I98" s="7" t="s">
        <v>72</v>
      </c>
      <c r="J98" s="7" t="s">
        <v>71</v>
      </c>
      <c r="K98" s="25" t="s">
        <v>23</v>
      </c>
      <c r="L98" s="10" t="s">
        <v>44</v>
      </c>
      <c r="M98" s="10" t="s">
        <v>50</v>
      </c>
      <c r="N98" s="10" t="s">
        <v>117</v>
      </c>
      <c r="O98" s="6" t="s">
        <v>8</v>
      </c>
      <c r="P98" s="6">
        <v>6</v>
      </c>
      <c r="Q98" s="6" t="s">
        <v>19</v>
      </c>
      <c r="R98" s="44" t="s">
        <v>673</v>
      </c>
    </row>
    <row r="99" spans="1:18" x14ac:dyDescent="0.25">
      <c r="A99" s="6" t="s">
        <v>23</v>
      </c>
      <c r="B99" s="6">
        <v>12323972</v>
      </c>
      <c r="C99" s="6" t="s">
        <v>9</v>
      </c>
      <c r="D99" s="7" t="s">
        <v>433</v>
      </c>
      <c r="E99" s="8">
        <v>44650</v>
      </c>
      <c r="F99" s="9">
        <v>44657</v>
      </c>
      <c r="G99" s="9">
        <v>44655</v>
      </c>
      <c r="H99" s="3">
        <v>4</v>
      </c>
      <c r="I99" s="7" t="s">
        <v>72</v>
      </c>
      <c r="J99" s="7" t="s">
        <v>71</v>
      </c>
      <c r="K99" s="25" t="s">
        <v>23</v>
      </c>
      <c r="L99" s="10" t="s">
        <v>44</v>
      </c>
      <c r="M99" s="10" t="s">
        <v>50</v>
      </c>
      <c r="N99" s="10" t="s">
        <v>117</v>
      </c>
      <c r="O99" s="6" t="s">
        <v>8</v>
      </c>
      <c r="P99" s="6">
        <v>6</v>
      </c>
      <c r="Q99" s="6" t="s">
        <v>19</v>
      </c>
      <c r="R99" s="44" t="s">
        <v>674</v>
      </c>
    </row>
    <row r="100" spans="1:18" x14ac:dyDescent="0.25">
      <c r="A100" s="6" t="s">
        <v>21</v>
      </c>
      <c r="B100" s="6">
        <v>12324125</v>
      </c>
      <c r="C100" s="6" t="s">
        <v>14</v>
      </c>
      <c r="D100" s="7" t="s">
        <v>414</v>
      </c>
      <c r="E100" s="8">
        <v>44650</v>
      </c>
      <c r="F100" s="9">
        <v>44657</v>
      </c>
      <c r="G100" s="9">
        <v>44655</v>
      </c>
      <c r="H100" s="3">
        <v>4</v>
      </c>
      <c r="I100" s="7" t="s">
        <v>72</v>
      </c>
      <c r="J100" s="7" t="s">
        <v>71</v>
      </c>
      <c r="K100" s="25" t="s">
        <v>21</v>
      </c>
      <c r="L100" s="10" t="s">
        <v>44</v>
      </c>
      <c r="M100" s="10" t="s">
        <v>49</v>
      </c>
      <c r="N100" s="10" t="s">
        <v>117</v>
      </c>
      <c r="O100" s="6" t="s">
        <v>8</v>
      </c>
      <c r="P100" s="6">
        <v>7</v>
      </c>
      <c r="Q100" s="6" t="s">
        <v>20</v>
      </c>
      <c r="R100" s="44" t="s">
        <v>536</v>
      </c>
    </row>
    <row r="101" spans="1:18" x14ac:dyDescent="0.25">
      <c r="A101" s="6" t="s">
        <v>21</v>
      </c>
      <c r="B101" s="6">
        <v>12322202</v>
      </c>
      <c r="C101" s="6" t="s">
        <v>14</v>
      </c>
      <c r="D101" s="7" t="s">
        <v>425</v>
      </c>
      <c r="E101" s="8">
        <v>44650</v>
      </c>
      <c r="F101" s="9">
        <v>44657</v>
      </c>
      <c r="G101" s="9">
        <v>44655</v>
      </c>
      <c r="H101" s="3">
        <v>4</v>
      </c>
      <c r="I101" s="7" t="s">
        <v>72</v>
      </c>
      <c r="J101" s="7" t="s">
        <v>71</v>
      </c>
      <c r="K101" s="25" t="s">
        <v>21</v>
      </c>
      <c r="L101" s="10" t="s">
        <v>44</v>
      </c>
      <c r="M101" s="10" t="s">
        <v>49</v>
      </c>
      <c r="N101" s="10" t="s">
        <v>117</v>
      </c>
      <c r="O101" s="6" t="s">
        <v>8</v>
      </c>
      <c r="P101" s="6">
        <v>7</v>
      </c>
      <c r="Q101" s="6" t="s">
        <v>20</v>
      </c>
      <c r="R101" s="44" t="s">
        <v>741</v>
      </c>
    </row>
    <row r="102" spans="1:18" x14ac:dyDescent="0.25">
      <c r="A102" s="6" t="s">
        <v>21</v>
      </c>
      <c r="B102" s="6">
        <v>12323089</v>
      </c>
      <c r="C102" s="6" t="s">
        <v>14</v>
      </c>
      <c r="D102" s="7" t="s">
        <v>431</v>
      </c>
      <c r="E102" s="8">
        <v>44650</v>
      </c>
      <c r="F102" s="9">
        <v>44657</v>
      </c>
      <c r="G102" s="9">
        <v>44655</v>
      </c>
      <c r="H102" s="3">
        <v>4</v>
      </c>
      <c r="I102" s="7" t="s">
        <v>72</v>
      </c>
      <c r="J102" s="7" t="s">
        <v>71</v>
      </c>
      <c r="K102" s="25" t="s">
        <v>21</v>
      </c>
      <c r="L102" s="10" t="s">
        <v>44</v>
      </c>
      <c r="M102" s="10" t="s">
        <v>49</v>
      </c>
      <c r="N102" s="10" t="s">
        <v>117</v>
      </c>
      <c r="O102" s="6" t="s">
        <v>8</v>
      </c>
      <c r="P102" s="6">
        <v>7</v>
      </c>
      <c r="Q102" s="6" t="s">
        <v>20</v>
      </c>
      <c r="R102" s="44" t="s">
        <v>744</v>
      </c>
    </row>
    <row r="103" spans="1:18" x14ac:dyDescent="0.25">
      <c r="A103" s="6" t="s">
        <v>21</v>
      </c>
      <c r="B103" s="6">
        <v>12324192</v>
      </c>
      <c r="C103" s="6" t="s">
        <v>14</v>
      </c>
      <c r="D103" s="7" t="s">
        <v>436</v>
      </c>
      <c r="E103" s="8">
        <v>44650</v>
      </c>
      <c r="F103" s="9">
        <v>44657</v>
      </c>
      <c r="G103" s="9">
        <v>44655</v>
      </c>
      <c r="H103" s="3">
        <v>4</v>
      </c>
      <c r="I103" s="7" t="s">
        <v>72</v>
      </c>
      <c r="J103" s="7" t="s">
        <v>71</v>
      </c>
      <c r="K103" s="25" t="s">
        <v>21</v>
      </c>
      <c r="L103" s="10" t="s">
        <v>44</v>
      </c>
      <c r="M103" s="10" t="s">
        <v>49</v>
      </c>
      <c r="N103" s="10" t="s">
        <v>117</v>
      </c>
      <c r="O103" s="6" t="s">
        <v>8</v>
      </c>
      <c r="P103" s="6">
        <v>7</v>
      </c>
      <c r="Q103" s="6" t="s">
        <v>20</v>
      </c>
      <c r="R103" s="44" t="s">
        <v>746</v>
      </c>
    </row>
    <row r="104" spans="1:18" x14ac:dyDescent="0.25">
      <c r="A104" s="6" t="s">
        <v>21</v>
      </c>
      <c r="B104" s="6">
        <v>12315778</v>
      </c>
      <c r="C104" s="6" t="s">
        <v>14</v>
      </c>
      <c r="D104" s="7" t="s">
        <v>416</v>
      </c>
      <c r="E104" s="8">
        <v>44650</v>
      </c>
      <c r="F104" s="9">
        <v>44657</v>
      </c>
      <c r="G104" s="9">
        <v>44655</v>
      </c>
      <c r="H104" s="3">
        <v>4</v>
      </c>
      <c r="I104" s="7" t="s">
        <v>72</v>
      </c>
      <c r="J104" s="7" t="s">
        <v>71</v>
      </c>
      <c r="K104" s="25" t="s">
        <v>21</v>
      </c>
      <c r="L104" s="10" t="s">
        <v>44</v>
      </c>
      <c r="M104" s="10" t="s">
        <v>49</v>
      </c>
      <c r="N104" s="10" t="s">
        <v>117</v>
      </c>
      <c r="O104" s="6" t="s">
        <v>8</v>
      </c>
      <c r="P104" s="6">
        <v>7</v>
      </c>
      <c r="Q104" s="6" t="s">
        <v>20</v>
      </c>
      <c r="R104" s="44" t="s">
        <v>749</v>
      </c>
    </row>
    <row r="105" spans="1:18" x14ac:dyDescent="0.25">
      <c r="A105" s="6" t="s">
        <v>21</v>
      </c>
      <c r="B105" s="6">
        <v>12320814</v>
      </c>
      <c r="C105" s="6" t="s">
        <v>14</v>
      </c>
      <c r="D105" s="7" t="s">
        <v>422</v>
      </c>
      <c r="E105" s="8">
        <v>44650</v>
      </c>
      <c r="F105" s="9">
        <v>44657</v>
      </c>
      <c r="G105" s="9">
        <v>44655</v>
      </c>
      <c r="H105" s="3">
        <v>4</v>
      </c>
      <c r="I105" s="7" t="s">
        <v>72</v>
      </c>
      <c r="J105" s="7" t="s">
        <v>71</v>
      </c>
      <c r="K105" s="25" t="s">
        <v>21</v>
      </c>
      <c r="L105" s="10" t="s">
        <v>44</v>
      </c>
      <c r="M105" s="10" t="s">
        <v>49</v>
      </c>
      <c r="N105" s="10" t="s">
        <v>117</v>
      </c>
      <c r="O105" s="6" t="s">
        <v>8</v>
      </c>
      <c r="P105" s="6">
        <v>7</v>
      </c>
      <c r="Q105" s="6" t="s">
        <v>20</v>
      </c>
      <c r="R105" s="44" t="s">
        <v>750</v>
      </c>
    </row>
    <row r="106" spans="1:18" x14ac:dyDescent="0.25">
      <c r="A106" s="6" t="s">
        <v>21</v>
      </c>
      <c r="B106" s="6">
        <v>12326219</v>
      </c>
      <c r="C106" s="6" t="s">
        <v>14</v>
      </c>
      <c r="D106" s="7" t="s">
        <v>447</v>
      </c>
      <c r="E106" s="8">
        <v>44650</v>
      </c>
      <c r="F106" s="9">
        <v>44657</v>
      </c>
      <c r="G106" s="9">
        <v>44655</v>
      </c>
      <c r="H106" s="3">
        <v>4</v>
      </c>
      <c r="I106" s="7" t="s">
        <v>72</v>
      </c>
      <c r="J106" s="7" t="s">
        <v>71</v>
      </c>
      <c r="K106" s="25" t="s">
        <v>21</v>
      </c>
      <c r="L106" s="10" t="s">
        <v>44</v>
      </c>
      <c r="M106" s="10" t="s">
        <v>49</v>
      </c>
      <c r="N106" s="10" t="s">
        <v>117</v>
      </c>
      <c r="O106" s="6" t="s">
        <v>8</v>
      </c>
      <c r="P106" s="6">
        <v>7</v>
      </c>
      <c r="Q106" s="6" t="s">
        <v>20</v>
      </c>
      <c r="R106" s="44" t="s">
        <v>758</v>
      </c>
    </row>
    <row r="107" spans="1:18" x14ac:dyDescent="0.25">
      <c r="A107" s="6" t="s">
        <v>21</v>
      </c>
      <c r="B107" s="6">
        <v>12325040</v>
      </c>
      <c r="C107" s="6" t="s">
        <v>14</v>
      </c>
      <c r="D107" s="7" t="s">
        <v>442</v>
      </c>
      <c r="E107" s="8">
        <v>44650</v>
      </c>
      <c r="F107" s="9">
        <v>44657</v>
      </c>
      <c r="G107" s="9">
        <v>44655</v>
      </c>
      <c r="H107" s="3">
        <v>4</v>
      </c>
      <c r="I107" s="7" t="s">
        <v>72</v>
      </c>
      <c r="J107" s="7" t="s">
        <v>71</v>
      </c>
      <c r="K107" s="25" t="s">
        <v>21</v>
      </c>
      <c r="L107" s="10" t="s">
        <v>44</v>
      </c>
      <c r="M107" s="10" t="s">
        <v>49</v>
      </c>
      <c r="N107" s="10" t="s">
        <v>117</v>
      </c>
      <c r="O107" s="6" t="s">
        <v>8</v>
      </c>
      <c r="P107" s="6">
        <v>7</v>
      </c>
      <c r="Q107" s="6" t="s">
        <v>20</v>
      </c>
      <c r="R107" s="44" t="s">
        <v>761</v>
      </c>
    </row>
    <row r="108" spans="1:18" x14ac:dyDescent="0.25">
      <c r="A108" s="6" t="s">
        <v>21</v>
      </c>
      <c r="B108" s="6">
        <v>12326073</v>
      </c>
      <c r="C108" s="6" t="s">
        <v>14</v>
      </c>
      <c r="D108" s="7" t="s">
        <v>446</v>
      </c>
      <c r="E108" s="8">
        <v>44650</v>
      </c>
      <c r="F108" s="9">
        <v>44657</v>
      </c>
      <c r="G108" s="9">
        <v>44655</v>
      </c>
      <c r="H108" s="3">
        <v>4</v>
      </c>
      <c r="I108" s="7" t="s">
        <v>72</v>
      </c>
      <c r="J108" s="7" t="s">
        <v>71</v>
      </c>
      <c r="K108" s="25" t="s">
        <v>21</v>
      </c>
      <c r="L108" s="10" t="s">
        <v>44</v>
      </c>
      <c r="M108" s="10" t="s">
        <v>49</v>
      </c>
      <c r="N108" s="10" t="s">
        <v>117</v>
      </c>
      <c r="O108" s="6" t="s">
        <v>8</v>
      </c>
      <c r="P108" s="6">
        <v>7</v>
      </c>
      <c r="Q108" s="6" t="s">
        <v>20</v>
      </c>
      <c r="R108" s="44" t="s">
        <v>762</v>
      </c>
    </row>
    <row r="109" spans="1:18" x14ac:dyDescent="0.25">
      <c r="A109" s="6" t="s">
        <v>21</v>
      </c>
      <c r="B109" s="6">
        <v>12316147</v>
      </c>
      <c r="C109" s="6" t="s">
        <v>14</v>
      </c>
      <c r="D109" s="7" t="s">
        <v>426</v>
      </c>
      <c r="E109" s="8">
        <v>44650</v>
      </c>
      <c r="F109" s="9">
        <v>44657</v>
      </c>
      <c r="G109" s="9">
        <v>44655</v>
      </c>
      <c r="H109" s="3">
        <v>4</v>
      </c>
      <c r="I109" s="7" t="s">
        <v>72</v>
      </c>
      <c r="J109" s="7" t="s">
        <v>71</v>
      </c>
      <c r="K109" s="25" t="s">
        <v>21</v>
      </c>
      <c r="L109" s="10" t="s">
        <v>44</v>
      </c>
      <c r="M109" s="10" t="s">
        <v>49</v>
      </c>
      <c r="N109" s="10" t="s">
        <v>117</v>
      </c>
      <c r="O109" s="6" t="s">
        <v>8</v>
      </c>
      <c r="P109" s="6">
        <v>7</v>
      </c>
      <c r="Q109" s="6" t="s">
        <v>20</v>
      </c>
      <c r="R109" s="44" t="s">
        <v>524</v>
      </c>
    </row>
    <row r="110" spans="1:18" x14ac:dyDescent="0.25">
      <c r="A110" s="6" t="s">
        <v>21</v>
      </c>
      <c r="B110" s="6">
        <v>12318669</v>
      </c>
      <c r="C110" s="6" t="s">
        <v>14</v>
      </c>
      <c r="D110" s="7" t="s">
        <v>419</v>
      </c>
      <c r="E110" s="8">
        <v>44650</v>
      </c>
      <c r="F110" s="9">
        <v>44657</v>
      </c>
      <c r="G110" s="9">
        <v>44655</v>
      </c>
      <c r="H110" s="3">
        <v>4</v>
      </c>
      <c r="I110" s="7" t="s">
        <v>72</v>
      </c>
      <c r="J110" s="7" t="s">
        <v>71</v>
      </c>
      <c r="K110" s="25" t="s">
        <v>21</v>
      </c>
      <c r="L110" s="10" t="s">
        <v>44</v>
      </c>
      <c r="M110" s="10" t="s">
        <v>49</v>
      </c>
      <c r="N110" s="10" t="s">
        <v>117</v>
      </c>
      <c r="O110" s="6" t="s">
        <v>8</v>
      </c>
      <c r="P110" s="6">
        <v>7</v>
      </c>
      <c r="Q110" s="6" t="s">
        <v>20</v>
      </c>
      <c r="R110" s="44" t="s">
        <v>772</v>
      </c>
    </row>
    <row r="111" spans="1:18" x14ac:dyDescent="0.25">
      <c r="A111" s="6" t="s">
        <v>21</v>
      </c>
      <c r="B111" s="6">
        <v>12317161</v>
      </c>
      <c r="C111" s="6" t="s">
        <v>14</v>
      </c>
      <c r="D111" s="7" t="s">
        <v>418</v>
      </c>
      <c r="E111" s="8">
        <v>44650</v>
      </c>
      <c r="F111" s="9">
        <v>44657</v>
      </c>
      <c r="G111" s="9">
        <v>44655</v>
      </c>
      <c r="H111" s="3">
        <v>4</v>
      </c>
      <c r="I111" s="7" t="s">
        <v>72</v>
      </c>
      <c r="J111" s="7" t="s">
        <v>71</v>
      </c>
      <c r="K111" s="25" t="s">
        <v>21</v>
      </c>
      <c r="L111" s="10" t="s">
        <v>44</v>
      </c>
      <c r="M111" s="10" t="s">
        <v>49</v>
      </c>
      <c r="N111" s="10" t="s">
        <v>117</v>
      </c>
      <c r="O111" s="6" t="s">
        <v>8</v>
      </c>
      <c r="P111" s="6">
        <v>7</v>
      </c>
      <c r="Q111" s="6" t="s">
        <v>20</v>
      </c>
      <c r="R111" s="44" t="s">
        <v>781</v>
      </c>
    </row>
    <row r="112" spans="1:18" x14ac:dyDescent="0.25">
      <c r="A112" s="6" t="s">
        <v>21</v>
      </c>
      <c r="B112" s="6">
        <v>12322706</v>
      </c>
      <c r="C112" s="6" t="s">
        <v>14</v>
      </c>
      <c r="D112" s="7" t="s">
        <v>429</v>
      </c>
      <c r="E112" s="8">
        <v>44650</v>
      </c>
      <c r="F112" s="9">
        <v>44657</v>
      </c>
      <c r="G112" s="9">
        <v>44655</v>
      </c>
      <c r="H112" s="3">
        <v>4</v>
      </c>
      <c r="I112" s="7" t="s">
        <v>72</v>
      </c>
      <c r="J112" s="7" t="s">
        <v>71</v>
      </c>
      <c r="K112" s="25" t="s">
        <v>21</v>
      </c>
      <c r="L112" s="10" t="s">
        <v>44</v>
      </c>
      <c r="M112" s="10" t="s">
        <v>49</v>
      </c>
      <c r="N112" s="10" t="s">
        <v>117</v>
      </c>
      <c r="O112" s="6" t="s">
        <v>8</v>
      </c>
      <c r="P112" s="6">
        <v>7</v>
      </c>
      <c r="Q112" s="6" t="s">
        <v>20</v>
      </c>
      <c r="R112" s="44" t="s">
        <v>783</v>
      </c>
    </row>
    <row r="113" spans="1:18" x14ac:dyDescent="0.25">
      <c r="A113" s="6" t="s">
        <v>21</v>
      </c>
      <c r="B113" s="6">
        <v>12324798</v>
      </c>
      <c r="C113" s="6" t="s">
        <v>14</v>
      </c>
      <c r="D113" s="7" t="s">
        <v>441</v>
      </c>
      <c r="E113" s="8">
        <v>44650</v>
      </c>
      <c r="F113" s="9">
        <v>44657</v>
      </c>
      <c r="G113" s="9">
        <v>44655</v>
      </c>
      <c r="H113" s="3">
        <v>4</v>
      </c>
      <c r="I113" s="7" t="s">
        <v>72</v>
      </c>
      <c r="J113" s="7" t="s">
        <v>71</v>
      </c>
      <c r="K113" s="25" t="s">
        <v>21</v>
      </c>
      <c r="L113" s="10" t="s">
        <v>44</v>
      </c>
      <c r="M113" s="10" t="s">
        <v>49</v>
      </c>
      <c r="N113" s="10" t="s">
        <v>117</v>
      </c>
      <c r="O113" s="6" t="s">
        <v>8</v>
      </c>
      <c r="P113" s="6">
        <v>7</v>
      </c>
      <c r="Q113" s="6" t="s">
        <v>20</v>
      </c>
      <c r="R113" s="44" t="s">
        <v>786</v>
      </c>
    </row>
    <row r="114" spans="1:18" x14ac:dyDescent="0.25">
      <c r="A114" s="6" t="s">
        <v>21</v>
      </c>
      <c r="B114" s="6">
        <v>12322705</v>
      </c>
      <c r="C114" s="6" t="s">
        <v>14</v>
      </c>
      <c r="D114" s="7" t="s">
        <v>428</v>
      </c>
      <c r="E114" s="8">
        <v>44650</v>
      </c>
      <c r="F114" s="9">
        <v>44657</v>
      </c>
      <c r="G114" s="9">
        <v>44655</v>
      </c>
      <c r="H114" s="3">
        <v>4</v>
      </c>
      <c r="I114" s="7" t="s">
        <v>72</v>
      </c>
      <c r="J114" s="7" t="s">
        <v>71</v>
      </c>
      <c r="K114" s="25" t="s">
        <v>21</v>
      </c>
      <c r="L114" s="10" t="s">
        <v>44</v>
      </c>
      <c r="M114" s="10" t="s">
        <v>49</v>
      </c>
      <c r="N114" s="10" t="s">
        <v>117</v>
      </c>
      <c r="O114" s="6" t="s">
        <v>8</v>
      </c>
      <c r="P114" s="6">
        <v>7</v>
      </c>
      <c r="Q114" s="6" t="s">
        <v>20</v>
      </c>
      <c r="R114" s="44" t="s">
        <v>787</v>
      </c>
    </row>
    <row r="115" spans="1:18" x14ac:dyDescent="0.25">
      <c r="A115" s="6" t="s">
        <v>21</v>
      </c>
      <c r="B115" s="6">
        <v>12325211</v>
      </c>
      <c r="C115" s="6" t="s">
        <v>14</v>
      </c>
      <c r="D115" s="7" t="s">
        <v>443</v>
      </c>
      <c r="E115" s="8">
        <v>44650</v>
      </c>
      <c r="F115" s="9">
        <v>44657</v>
      </c>
      <c r="G115" s="9">
        <v>44655</v>
      </c>
      <c r="H115" s="3">
        <v>4</v>
      </c>
      <c r="I115" s="7" t="s">
        <v>72</v>
      </c>
      <c r="J115" s="7" t="s">
        <v>71</v>
      </c>
      <c r="K115" s="25" t="s">
        <v>21</v>
      </c>
      <c r="L115" s="10" t="s">
        <v>44</v>
      </c>
      <c r="M115" s="10" t="s">
        <v>49</v>
      </c>
      <c r="N115" s="10" t="s">
        <v>117</v>
      </c>
      <c r="O115" s="6" t="s">
        <v>8</v>
      </c>
      <c r="P115" s="6">
        <v>7</v>
      </c>
      <c r="Q115" s="6" t="s">
        <v>20</v>
      </c>
      <c r="R115" s="44" t="s">
        <v>788</v>
      </c>
    </row>
    <row r="116" spans="1:18" x14ac:dyDescent="0.25">
      <c r="A116" s="6" t="s">
        <v>21</v>
      </c>
      <c r="B116" s="6">
        <v>12315990</v>
      </c>
      <c r="C116" s="6" t="s">
        <v>14</v>
      </c>
      <c r="D116" s="7" t="s">
        <v>417</v>
      </c>
      <c r="E116" s="8">
        <v>44650</v>
      </c>
      <c r="F116" s="9">
        <v>44657</v>
      </c>
      <c r="G116" s="9">
        <v>44655</v>
      </c>
      <c r="H116" s="3">
        <v>4</v>
      </c>
      <c r="I116" s="7" t="s">
        <v>72</v>
      </c>
      <c r="J116" s="7" t="s">
        <v>71</v>
      </c>
      <c r="K116" s="25" t="s">
        <v>21</v>
      </c>
      <c r="L116" s="10" t="s">
        <v>44</v>
      </c>
      <c r="M116" s="10" t="s">
        <v>49</v>
      </c>
      <c r="N116" s="10" t="s">
        <v>117</v>
      </c>
      <c r="O116" s="6" t="s">
        <v>8</v>
      </c>
      <c r="P116" s="6">
        <v>7</v>
      </c>
      <c r="Q116" s="6" t="s">
        <v>20</v>
      </c>
      <c r="R116" s="44" t="s">
        <v>791</v>
      </c>
    </row>
    <row r="117" spans="1:18" x14ac:dyDescent="0.25">
      <c r="A117" s="6" t="s">
        <v>17</v>
      </c>
      <c r="B117" s="6">
        <v>12327569</v>
      </c>
      <c r="C117" s="6" t="s">
        <v>9</v>
      </c>
      <c r="D117" s="7" t="s">
        <v>582</v>
      </c>
      <c r="E117" s="8">
        <v>44651</v>
      </c>
      <c r="F117" s="9">
        <v>44658</v>
      </c>
      <c r="G117" s="9">
        <v>44655</v>
      </c>
      <c r="H117" s="3">
        <v>3</v>
      </c>
      <c r="I117" s="7" t="s">
        <v>72</v>
      </c>
      <c r="J117" s="7" t="s">
        <v>73</v>
      </c>
      <c r="K117" s="25" t="s">
        <v>117</v>
      </c>
      <c r="L117" s="10" t="s">
        <v>117</v>
      </c>
      <c r="M117" s="10" t="s">
        <v>47</v>
      </c>
      <c r="N117" s="10" t="s">
        <v>117</v>
      </c>
      <c r="O117" s="6" t="s">
        <v>26</v>
      </c>
      <c r="P117" s="6">
        <v>2</v>
      </c>
      <c r="Q117" s="6" t="s">
        <v>12</v>
      </c>
      <c r="R117" s="44" t="s">
        <v>450</v>
      </c>
    </row>
    <row r="118" spans="1:18" x14ac:dyDescent="0.25">
      <c r="A118" s="5" t="s">
        <v>17</v>
      </c>
      <c r="B118" s="5">
        <v>12332446</v>
      </c>
      <c r="C118" s="5" t="s">
        <v>9</v>
      </c>
      <c r="D118" s="7" t="s">
        <v>583</v>
      </c>
      <c r="E118" s="8">
        <v>44651</v>
      </c>
      <c r="F118" s="9">
        <v>44658</v>
      </c>
      <c r="G118" s="9">
        <v>44655</v>
      </c>
      <c r="H118" s="3">
        <v>3</v>
      </c>
      <c r="I118" s="7" t="s">
        <v>72</v>
      </c>
      <c r="J118" s="7" t="s">
        <v>73</v>
      </c>
      <c r="K118" s="25" t="s">
        <v>117</v>
      </c>
      <c r="L118" s="10" t="s">
        <v>117</v>
      </c>
      <c r="M118" s="10" t="s">
        <v>47</v>
      </c>
      <c r="N118" s="10" t="s">
        <v>117</v>
      </c>
      <c r="O118" s="5" t="s">
        <v>26</v>
      </c>
      <c r="P118" s="5">
        <v>2</v>
      </c>
      <c r="Q118" s="5" t="s">
        <v>12</v>
      </c>
      <c r="R118" s="43" t="s">
        <v>454</v>
      </c>
    </row>
    <row r="119" spans="1:18" x14ac:dyDescent="0.25">
      <c r="A119" s="6" t="s">
        <v>17</v>
      </c>
      <c r="B119" s="6">
        <v>12337275</v>
      </c>
      <c r="C119" s="6" t="s">
        <v>9</v>
      </c>
      <c r="D119" s="7" t="s">
        <v>584</v>
      </c>
      <c r="E119" s="8">
        <v>44651</v>
      </c>
      <c r="F119" s="9">
        <v>44658</v>
      </c>
      <c r="G119" s="9">
        <v>44655</v>
      </c>
      <c r="H119" s="3">
        <v>3</v>
      </c>
      <c r="I119" s="7" t="s">
        <v>72</v>
      </c>
      <c r="J119" s="7" t="s">
        <v>73</v>
      </c>
      <c r="K119" s="25" t="s">
        <v>117</v>
      </c>
      <c r="L119" s="10" t="s">
        <v>117</v>
      </c>
      <c r="M119" s="10" t="s">
        <v>47</v>
      </c>
      <c r="N119" s="10" t="s">
        <v>117</v>
      </c>
      <c r="O119" s="6" t="s">
        <v>26</v>
      </c>
      <c r="P119" s="6">
        <v>2</v>
      </c>
      <c r="Q119" s="6" t="s">
        <v>12</v>
      </c>
      <c r="R119" s="44" t="s">
        <v>456</v>
      </c>
    </row>
    <row r="120" spans="1:18" x14ac:dyDescent="0.25">
      <c r="A120" s="6" t="s">
        <v>15</v>
      </c>
      <c r="B120" s="6">
        <v>12328229</v>
      </c>
      <c r="C120" s="6" t="s">
        <v>9</v>
      </c>
      <c r="D120" s="7" t="s">
        <v>585</v>
      </c>
      <c r="E120" s="8">
        <v>44651</v>
      </c>
      <c r="F120" s="9">
        <v>44658</v>
      </c>
      <c r="G120" s="9">
        <v>44655</v>
      </c>
      <c r="H120" s="3">
        <v>3</v>
      </c>
      <c r="I120" s="7" t="s">
        <v>72</v>
      </c>
      <c r="J120" s="7" t="s">
        <v>73</v>
      </c>
      <c r="K120" s="25" t="s">
        <v>117</v>
      </c>
      <c r="L120" s="10" t="s">
        <v>117</v>
      </c>
      <c r="M120" s="10" t="s">
        <v>47</v>
      </c>
      <c r="N120" s="10" t="s">
        <v>117</v>
      </c>
      <c r="O120" s="6" t="s">
        <v>26</v>
      </c>
      <c r="P120" s="6">
        <v>2</v>
      </c>
      <c r="Q120" s="6" t="s">
        <v>12</v>
      </c>
      <c r="R120" s="44" t="s">
        <v>457</v>
      </c>
    </row>
    <row r="121" spans="1:18" x14ac:dyDescent="0.25">
      <c r="A121" s="6" t="s">
        <v>15</v>
      </c>
      <c r="B121" s="6">
        <v>12333122</v>
      </c>
      <c r="C121" s="6" t="s">
        <v>9</v>
      </c>
      <c r="D121" s="7" t="s">
        <v>423</v>
      </c>
      <c r="E121" s="8">
        <v>44651</v>
      </c>
      <c r="F121" s="9">
        <v>44658</v>
      </c>
      <c r="G121" s="9">
        <v>44655</v>
      </c>
      <c r="H121" s="3">
        <v>3</v>
      </c>
      <c r="I121" s="7" t="s">
        <v>72</v>
      </c>
      <c r="J121" s="7" t="s">
        <v>73</v>
      </c>
      <c r="K121" s="25" t="s">
        <v>117</v>
      </c>
      <c r="L121" s="10" t="s">
        <v>117</v>
      </c>
      <c r="M121" s="10" t="s">
        <v>47</v>
      </c>
      <c r="N121" s="10" t="s">
        <v>117</v>
      </c>
      <c r="O121" s="6" t="s">
        <v>26</v>
      </c>
      <c r="P121" s="6">
        <v>2</v>
      </c>
      <c r="Q121" s="6" t="s">
        <v>12</v>
      </c>
      <c r="R121" s="44" t="s">
        <v>460</v>
      </c>
    </row>
    <row r="122" spans="1:18" x14ac:dyDescent="0.25">
      <c r="A122" s="6" t="s">
        <v>17</v>
      </c>
      <c r="B122" s="6">
        <v>12327018</v>
      </c>
      <c r="C122" s="6" t="s">
        <v>9</v>
      </c>
      <c r="D122" s="7" t="s">
        <v>586</v>
      </c>
      <c r="E122" s="8">
        <v>44651</v>
      </c>
      <c r="F122" s="9">
        <v>44658</v>
      </c>
      <c r="G122" s="9">
        <v>44655</v>
      </c>
      <c r="H122" s="3">
        <v>3</v>
      </c>
      <c r="I122" s="7" t="s">
        <v>72</v>
      </c>
      <c r="J122" s="7" t="s">
        <v>73</v>
      </c>
      <c r="K122" s="25" t="s">
        <v>117</v>
      </c>
      <c r="L122" s="10" t="s">
        <v>117</v>
      </c>
      <c r="M122" s="10" t="s">
        <v>47</v>
      </c>
      <c r="N122" s="10" t="s">
        <v>117</v>
      </c>
      <c r="O122" s="6" t="s">
        <v>8</v>
      </c>
      <c r="P122" s="6">
        <v>2</v>
      </c>
      <c r="Q122" s="6" t="s">
        <v>12</v>
      </c>
      <c r="R122" s="44" t="s">
        <v>461</v>
      </c>
    </row>
    <row r="123" spans="1:18" x14ac:dyDescent="0.25">
      <c r="A123" s="6" t="s">
        <v>17</v>
      </c>
      <c r="B123" s="6">
        <v>12330938</v>
      </c>
      <c r="C123" s="6" t="s">
        <v>9</v>
      </c>
      <c r="D123" s="7" t="s">
        <v>592</v>
      </c>
      <c r="E123" s="8">
        <v>44651</v>
      </c>
      <c r="F123" s="9">
        <v>44658</v>
      </c>
      <c r="G123" s="9">
        <v>44655</v>
      </c>
      <c r="H123" s="3">
        <v>3</v>
      </c>
      <c r="I123" s="7" t="s">
        <v>72</v>
      </c>
      <c r="J123" s="7" t="s">
        <v>73</v>
      </c>
      <c r="K123" s="25" t="s">
        <v>117</v>
      </c>
      <c r="L123" s="10" t="s">
        <v>117</v>
      </c>
      <c r="M123" s="10" t="s">
        <v>47</v>
      </c>
      <c r="N123" s="10" t="s">
        <v>117</v>
      </c>
      <c r="O123" s="6" t="s">
        <v>8</v>
      </c>
      <c r="P123" s="6">
        <v>2</v>
      </c>
      <c r="Q123" s="6" t="s">
        <v>12</v>
      </c>
      <c r="R123" s="44" t="s">
        <v>467</v>
      </c>
    </row>
    <row r="124" spans="1:18" x14ac:dyDescent="0.25">
      <c r="A124" s="6" t="s">
        <v>17</v>
      </c>
      <c r="B124" s="6">
        <v>12334118</v>
      </c>
      <c r="C124" s="6" t="s">
        <v>9</v>
      </c>
      <c r="D124" s="7" t="s">
        <v>595</v>
      </c>
      <c r="E124" s="8">
        <v>44651</v>
      </c>
      <c r="F124" s="9">
        <v>44658</v>
      </c>
      <c r="G124" s="9">
        <v>44655</v>
      </c>
      <c r="H124" s="3">
        <v>3</v>
      </c>
      <c r="I124" s="7" t="s">
        <v>72</v>
      </c>
      <c r="J124" s="7" t="s">
        <v>73</v>
      </c>
      <c r="K124" s="25" t="s">
        <v>117</v>
      </c>
      <c r="L124" s="10" t="s">
        <v>117</v>
      </c>
      <c r="M124" s="10" t="s">
        <v>47</v>
      </c>
      <c r="N124" s="10" t="s">
        <v>117</v>
      </c>
      <c r="O124" s="6" t="s">
        <v>8</v>
      </c>
      <c r="P124" s="6">
        <v>2</v>
      </c>
      <c r="Q124" s="6" t="s">
        <v>12</v>
      </c>
      <c r="R124" s="44" t="s">
        <v>471</v>
      </c>
    </row>
    <row r="125" spans="1:18" x14ac:dyDescent="0.25">
      <c r="A125" s="5" t="s">
        <v>23</v>
      </c>
      <c r="B125" s="5">
        <v>12329211</v>
      </c>
      <c r="C125" s="5" t="s">
        <v>9</v>
      </c>
      <c r="D125" s="7" t="s">
        <v>601</v>
      </c>
      <c r="E125" s="8">
        <v>44651</v>
      </c>
      <c r="F125" s="9">
        <v>44658</v>
      </c>
      <c r="G125" s="9">
        <v>44655</v>
      </c>
      <c r="H125" s="3">
        <v>3</v>
      </c>
      <c r="I125" s="7" t="s">
        <v>72</v>
      </c>
      <c r="J125" s="7" t="s">
        <v>73</v>
      </c>
      <c r="K125" s="25" t="s">
        <v>117</v>
      </c>
      <c r="L125" s="10" t="s">
        <v>117</v>
      </c>
      <c r="M125" s="10" t="s">
        <v>50</v>
      </c>
      <c r="N125" s="10" t="s">
        <v>117</v>
      </c>
      <c r="O125" s="5" t="s">
        <v>8</v>
      </c>
      <c r="P125" s="5">
        <v>6</v>
      </c>
      <c r="Q125" s="5" t="s">
        <v>19</v>
      </c>
      <c r="R125" s="43" t="s">
        <v>516</v>
      </c>
    </row>
    <row r="126" spans="1:18" x14ac:dyDescent="0.25">
      <c r="A126" s="6" t="s">
        <v>15</v>
      </c>
      <c r="B126" s="6">
        <v>12335685</v>
      </c>
      <c r="C126" s="6" t="s">
        <v>9</v>
      </c>
      <c r="D126" s="7" t="s">
        <v>603</v>
      </c>
      <c r="E126" s="8">
        <v>44651</v>
      </c>
      <c r="F126" s="9">
        <v>44658</v>
      </c>
      <c r="G126" s="9">
        <v>44655</v>
      </c>
      <c r="H126" s="3">
        <v>3</v>
      </c>
      <c r="I126" s="7" t="s">
        <v>72</v>
      </c>
      <c r="J126" s="7" t="s">
        <v>73</v>
      </c>
      <c r="K126" s="25" t="s">
        <v>117</v>
      </c>
      <c r="L126" s="10" t="s">
        <v>117</v>
      </c>
      <c r="M126" s="10" t="s">
        <v>47</v>
      </c>
      <c r="N126" s="10" t="s">
        <v>117</v>
      </c>
      <c r="O126" s="6" t="s">
        <v>8</v>
      </c>
      <c r="P126" s="6">
        <v>2</v>
      </c>
      <c r="Q126" s="6" t="s">
        <v>12</v>
      </c>
      <c r="R126" s="44" t="s">
        <v>519</v>
      </c>
    </row>
    <row r="127" spans="1:18" x14ac:dyDescent="0.25">
      <c r="A127" s="6" t="s">
        <v>17</v>
      </c>
      <c r="B127" s="6">
        <v>12335718</v>
      </c>
      <c r="C127" s="6" t="s">
        <v>9</v>
      </c>
      <c r="D127" s="7" t="s">
        <v>605</v>
      </c>
      <c r="E127" s="8">
        <v>44651</v>
      </c>
      <c r="F127" s="9">
        <v>44658</v>
      </c>
      <c r="G127" s="9">
        <v>44655</v>
      </c>
      <c r="H127" s="3">
        <v>3</v>
      </c>
      <c r="I127" s="7" t="s">
        <v>72</v>
      </c>
      <c r="J127" s="7" t="s">
        <v>73</v>
      </c>
      <c r="K127" s="25" t="s">
        <v>117</v>
      </c>
      <c r="L127" s="10" t="s">
        <v>117</v>
      </c>
      <c r="M127" s="10" t="s">
        <v>47</v>
      </c>
      <c r="N127" s="10" t="s">
        <v>117</v>
      </c>
      <c r="O127" s="6" t="s">
        <v>8</v>
      </c>
      <c r="P127" s="6">
        <v>2</v>
      </c>
      <c r="Q127" s="6" t="s">
        <v>12</v>
      </c>
      <c r="R127" s="44" t="s">
        <v>522</v>
      </c>
    </row>
    <row r="128" spans="1:18" x14ac:dyDescent="0.25">
      <c r="A128" s="6" t="s">
        <v>15</v>
      </c>
      <c r="B128" s="6">
        <v>12337045</v>
      </c>
      <c r="C128" s="6" t="s">
        <v>9</v>
      </c>
      <c r="D128" s="7" t="s">
        <v>610</v>
      </c>
      <c r="E128" s="8">
        <v>44651</v>
      </c>
      <c r="F128" s="9">
        <v>44658</v>
      </c>
      <c r="G128" s="9">
        <v>44655</v>
      </c>
      <c r="H128" s="3">
        <v>3</v>
      </c>
      <c r="I128" s="7" t="s">
        <v>72</v>
      </c>
      <c r="J128" s="7" t="s">
        <v>73</v>
      </c>
      <c r="K128" s="25" t="s">
        <v>117</v>
      </c>
      <c r="L128" s="10" t="s">
        <v>117</v>
      </c>
      <c r="M128" s="10" t="s">
        <v>47</v>
      </c>
      <c r="N128" s="10" t="s">
        <v>117</v>
      </c>
      <c r="O128" s="6" t="s">
        <v>8</v>
      </c>
      <c r="P128" s="6">
        <v>2</v>
      </c>
      <c r="Q128" s="6" t="s">
        <v>12</v>
      </c>
      <c r="R128" s="44" t="s">
        <v>532</v>
      </c>
    </row>
    <row r="129" spans="1:18" x14ac:dyDescent="0.25">
      <c r="A129" s="6" t="s">
        <v>17</v>
      </c>
      <c r="B129" s="6">
        <v>12337132</v>
      </c>
      <c r="C129" s="6" t="s">
        <v>9</v>
      </c>
      <c r="D129" s="7" t="s">
        <v>611</v>
      </c>
      <c r="E129" s="8">
        <v>44651</v>
      </c>
      <c r="F129" s="9">
        <v>44658</v>
      </c>
      <c r="G129" s="9">
        <v>44655</v>
      </c>
      <c r="H129" s="3">
        <v>3</v>
      </c>
      <c r="I129" s="7" t="s">
        <v>72</v>
      </c>
      <c r="J129" s="7" t="s">
        <v>73</v>
      </c>
      <c r="K129" s="25" t="s">
        <v>117</v>
      </c>
      <c r="L129" s="10" t="s">
        <v>117</v>
      </c>
      <c r="M129" s="10" t="s">
        <v>47</v>
      </c>
      <c r="N129" s="10" t="s">
        <v>117</v>
      </c>
      <c r="O129" s="6" t="s">
        <v>8</v>
      </c>
      <c r="P129" s="6">
        <v>2</v>
      </c>
      <c r="Q129" s="6" t="s">
        <v>12</v>
      </c>
      <c r="R129" s="44" t="s">
        <v>533</v>
      </c>
    </row>
    <row r="130" spans="1:18" x14ac:dyDescent="0.25">
      <c r="A130" s="6" t="s">
        <v>15</v>
      </c>
      <c r="B130" s="6">
        <v>12337833</v>
      </c>
      <c r="C130" s="6" t="s">
        <v>9</v>
      </c>
      <c r="D130" s="7" t="s">
        <v>616</v>
      </c>
      <c r="E130" s="8">
        <v>44651</v>
      </c>
      <c r="F130" s="9">
        <v>44658</v>
      </c>
      <c r="G130" s="9">
        <v>44655</v>
      </c>
      <c r="H130" s="3">
        <v>3</v>
      </c>
      <c r="I130" s="7" t="s">
        <v>72</v>
      </c>
      <c r="J130" s="7" t="s">
        <v>73</v>
      </c>
      <c r="K130" s="25" t="s">
        <v>117</v>
      </c>
      <c r="L130" s="10" t="s">
        <v>117</v>
      </c>
      <c r="M130" s="10" t="s">
        <v>47</v>
      </c>
      <c r="N130" s="10" t="s">
        <v>117</v>
      </c>
      <c r="O130" s="6" t="s">
        <v>8</v>
      </c>
      <c r="P130" s="6">
        <v>2</v>
      </c>
      <c r="Q130" s="6" t="s">
        <v>12</v>
      </c>
      <c r="R130" s="44" t="s">
        <v>539</v>
      </c>
    </row>
    <row r="131" spans="1:18" x14ac:dyDescent="0.25">
      <c r="A131" s="6" t="s">
        <v>76</v>
      </c>
      <c r="B131" s="6">
        <v>12327992</v>
      </c>
      <c r="C131" s="6" t="s">
        <v>7</v>
      </c>
      <c r="D131" s="7" t="s">
        <v>613</v>
      </c>
      <c r="E131" s="8">
        <v>44651</v>
      </c>
      <c r="F131" s="9">
        <v>44658</v>
      </c>
      <c r="G131" s="9">
        <v>44655</v>
      </c>
      <c r="H131" s="3">
        <v>3</v>
      </c>
      <c r="I131" s="7" t="s">
        <v>72</v>
      </c>
      <c r="J131" s="7" t="s">
        <v>73</v>
      </c>
      <c r="K131" s="25" t="s">
        <v>117</v>
      </c>
      <c r="L131" s="10" t="s">
        <v>117</v>
      </c>
      <c r="M131" s="10" t="s">
        <v>47</v>
      </c>
      <c r="N131" s="10" t="s">
        <v>117</v>
      </c>
      <c r="O131" s="6" t="s">
        <v>8</v>
      </c>
      <c r="P131" s="6">
        <v>2</v>
      </c>
      <c r="Q131" s="6" t="s">
        <v>12</v>
      </c>
      <c r="R131" s="44" t="s">
        <v>664</v>
      </c>
    </row>
    <row r="132" spans="1:18" x14ac:dyDescent="0.25">
      <c r="A132" s="6" t="s">
        <v>23</v>
      </c>
      <c r="B132" s="6">
        <v>12329621</v>
      </c>
      <c r="C132" s="6" t="s">
        <v>9</v>
      </c>
      <c r="D132" s="7" t="s">
        <v>589</v>
      </c>
      <c r="E132" s="8">
        <v>44651</v>
      </c>
      <c r="F132" s="9">
        <v>44658</v>
      </c>
      <c r="G132" s="9">
        <v>44655</v>
      </c>
      <c r="H132" s="3">
        <v>3</v>
      </c>
      <c r="I132" s="7" t="s">
        <v>72</v>
      </c>
      <c r="J132" s="7" t="s">
        <v>73</v>
      </c>
      <c r="K132" s="25" t="s">
        <v>117</v>
      </c>
      <c r="L132" s="10" t="s">
        <v>117</v>
      </c>
      <c r="M132" s="10" t="s">
        <v>50</v>
      </c>
      <c r="N132" s="10" t="s">
        <v>117</v>
      </c>
      <c r="O132" s="6" t="s">
        <v>8</v>
      </c>
      <c r="P132" s="6">
        <v>6</v>
      </c>
      <c r="Q132" s="6" t="s">
        <v>19</v>
      </c>
      <c r="R132" s="44" t="s">
        <v>685</v>
      </c>
    </row>
    <row r="133" spans="1:18" x14ac:dyDescent="0.25">
      <c r="A133" s="6" t="s">
        <v>23</v>
      </c>
      <c r="B133" s="6">
        <v>12330377</v>
      </c>
      <c r="C133" s="6" t="s">
        <v>9</v>
      </c>
      <c r="D133" s="7" t="s">
        <v>591</v>
      </c>
      <c r="E133" s="8">
        <v>44651</v>
      </c>
      <c r="F133" s="9">
        <v>44658</v>
      </c>
      <c r="G133" s="9">
        <v>44655</v>
      </c>
      <c r="H133" s="3">
        <v>3</v>
      </c>
      <c r="I133" s="7" t="s">
        <v>72</v>
      </c>
      <c r="J133" s="7" t="s">
        <v>73</v>
      </c>
      <c r="K133" s="25" t="s">
        <v>117</v>
      </c>
      <c r="L133" s="10" t="s">
        <v>117</v>
      </c>
      <c r="M133" s="10" t="s">
        <v>50</v>
      </c>
      <c r="N133" s="10" t="s">
        <v>117</v>
      </c>
      <c r="O133" s="6" t="s">
        <v>8</v>
      </c>
      <c r="P133" s="6">
        <v>6</v>
      </c>
      <c r="Q133" s="6" t="s">
        <v>19</v>
      </c>
      <c r="R133" s="44" t="s">
        <v>686</v>
      </c>
    </row>
    <row r="134" spans="1:18" x14ac:dyDescent="0.25">
      <c r="A134" s="5" t="s">
        <v>23</v>
      </c>
      <c r="B134" s="5">
        <v>12327544</v>
      </c>
      <c r="C134" s="5" t="s">
        <v>9</v>
      </c>
      <c r="D134" s="7" t="s">
        <v>620</v>
      </c>
      <c r="E134" s="8">
        <v>44651</v>
      </c>
      <c r="F134" s="9">
        <v>44658</v>
      </c>
      <c r="G134" s="9">
        <v>44655</v>
      </c>
      <c r="H134" s="3">
        <v>3</v>
      </c>
      <c r="I134" s="7" t="s">
        <v>72</v>
      </c>
      <c r="J134" s="7" t="s">
        <v>73</v>
      </c>
      <c r="K134" s="25" t="s">
        <v>117</v>
      </c>
      <c r="L134" s="10" t="s">
        <v>117</v>
      </c>
      <c r="M134" s="10" t="s">
        <v>50</v>
      </c>
      <c r="N134" s="10" t="s">
        <v>117</v>
      </c>
      <c r="O134" s="5" t="s">
        <v>8</v>
      </c>
      <c r="P134" s="5">
        <v>6</v>
      </c>
      <c r="Q134" s="5" t="s">
        <v>19</v>
      </c>
      <c r="R134" s="43" t="s">
        <v>687</v>
      </c>
    </row>
    <row r="135" spans="1:18" x14ac:dyDescent="0.25">
      <c r="A135" s="6" t="s">
        <v>23</v>
      </c>
      <c r="B135" s="6">
        <v>12330254</v>
      </c>
      <c r="C135" s="6" t="s">
        <v>9</v>
      </c>
      <c r="D135" s="7" t="s">
        <v>623</v>
      </c>
      <c r="E135" s="8">
        <v>44651</v>
      </c>
      <c r="F135" s="9">
        <v>44658</v>
      </c>
      <c r="G135" s="9">
        <v>44655</v>
      </c>
      <c r="H135" s="3">
        <v>3</v>
      </c>
      <c r="I135" s="7" t="s">
        <v>72</v>
      </c>
      <c r="J135" s="7" t="s">
        <v>73</v>
      </c>
      <c r="K135" s="25" t="s">
        <v>117</v>
      </c>
      <c r="L135" s="10" t="s">
        <v>117</v>
      </c>
      <c r="M135" s="10" t="s">
        <v>50</v>
      </c>
      <c r="N135" s="10" t="s">
        <v>117</v>
      </c>
      <c r="O135" s="6" t="s">
        <v>8</v>
      </c>
      <c r="P135" s="6">
        <v>6</v>
      </c>
      <c r="Q135" s="6" t="s">
        <v>19</v>
      </c>
      <c r="R135" s="44" t="s">
        <v>691</v>
      </c>
    </row>
    <row r="136" spans="1:18" x14ac:dyDescent="0.25">
      <c r="A136" s="6" t="s">
        <v>23</v>
      </c>
      <c r="B136" s="6">
        <v>12331737</v>
      </c>
      <c r="C136" s="6" t="s">
        <v>9</v>
      </c>
      <c r="D136" s="7" t="s">
        <v>593</v>
      </c>
      <c r="E136" s="8">
        <v>44651</v>
      </c>
      <c r="F136" s="9">
        <v>44658</v>
      </c>
      <c r="G136" s="9">
        <v>44655</v>
      </c>
      <c r="H136" s="3">
        <v>3</v>
      </c>
      <c r="I136" s="7" t="s">
        <v>72</v>
      </c>
      <c r="J136" s="7" t="s">
        <v>73</v>
      </c>
      <c r="K136" s="25" t="s">
        <v>117</v>
      </c>
      <c r="L136" s="10" t="s">
        <v>117</v>
      </c>
      <c r="M136" s="10" t="s">
        <v>50</v>
      </c>
      <c r="N136" s="10" t="s">
        <v>117</v>
      </c>
      <c r="O136" s="6" t="s">
        <v>8</v>
      </c>
      <c r="P136" s="6">
        <v>6</v>
      </c>
      <c r="Q136" s="6" t="s">
        <v>19</v>
      </c>
      <c r="R136" s="44" t="s">
        <v>692</v>
      </c>
    </row>
    <row r="137" spans="1:18" x14ac:dyDescent="0.25">
      <c r="A137" s="6" t="s">
        <v>23</v>
      </c>
      <c r="B137" s="6">
        <v>12330565</v>
      </c>
      <c r="C137" s="6" t="s">
        <v>9</v>
      </c>
      <c r="D137" s="7" t="s">
        <v>624</v>
      </c>
      <c r="E137" s="8">
        <v>44651</v>
      </c>
      <c r="F137" s="9">
        <v>44658</v>
      </c>
      <c r="G137" s="9">
        <v>44655</v>
      </c>
      <c r="H137" s="3">
        <v>3</v>
      </c>
      <c r="I137" s="7" t="s">
        <v>72</v>
      </c>
      <c r="J137" s="7" t="s">
        <v>73</v>
      </c>
      <c r="K137" s="25" t="s">
        <v>117</v>
      </c>
      <c r="L137" s="10" t="s">
        <v>117</v>
      </c>
      <c r="M137" s="10" t="s">
        <v>50</v>
      </c>
      <c r="N137" s="10" t="s">
        <v>117</v>
      </c>
      <c r="O137" s="6" t="s">
        <v>8</v>
      </c>
      <c r="P137" s="6">
        <v>6</v>
      </c>
      <c r="Q137" s="6" t="s">
        <v>19</v>
      </c>
      <c r="R137" s="44" t="s">
        <v>694</v>
      </c>
    </row>
    <row r="138" spans="1:18" x14ac:dyDescent="0.25">
      <c r="A138" s="5" t="s">
        <v>23</v>
      </c>
      <c r="B138" s="5">
        <v>12332664</v>
      </c>
      <c r="C138" s="5" t="s">
        <v>9</v>
      </c>
      <c r="D138" s="7" t="s">
        <v>594</v>
      </c>
      <c r="E138" s="8">
        <v>44651</v>
      </c>
      <c r="F138" s="9">
        <v>44658</v>
      </c>
      <c r="G138" s="9">
        <v>44655</v>
      </c>
      <c r="H138" s="3">
        <v>3</v>
      </c>
      <c r="I138" s="7" t="s">
        <v>72</v>
      </c>
      <c r="J138" s="7" t="s">
        <v>73</v>
      </c>
      <c r="K138" s="25" t="s">
        <v>117</v>
      </c>
      <c r="L138" s="10" t="s">
        <v>117</v>
      </c>
      <c r="M138" s="10" t="s">
        <v>50</v>
      </c>
      <c r="N138" s="10" t="s">
        <v>117</v>
      </c>
      <c r="O138" s="5" t="s">
        <v>8</v>
      </c>
      <c r="P138" s="5">
        <v>6</v>
      </c>
      <c r="Q138" s="5" t="s">
        <v>19</v>
      </c>
      <c r="R138" s="43" t="s">
        <v>695</v>
      </c>
    </row>
    <row r="139" spans="1:18" x14ac:dyDescent="0.25">
      <c r="A139" s="6" t="s">
        <v>23</v>
      </c>
      <c r="B139" s="6">
        <v>12331603</v>
      </c>
      <c r="C139" s="6" t="s">
        <v>9</v>
      </c>
      <c r="D139" s="7" t="s">
        <v>625</v>
      </c>
      <c r="E139" s="8">
        <v>44651</v>
      </c>
      <c r="F139" s="9">
        <v>44658</v>
      </c>
      <c r="G139" s="9">
        <v>44655</v>
      </c>
      <c r="H139" s="3">
        <v>3</v>
      </c>
      <c r="I139" s="7" t="s">
        <v>72</v>
      </c>
      <c r="J139" s="7" t="s">
        <v>73</v>
      </c>
      <c r="K139" s="25" t="s">
        <v>117</v>
      </c>
      <c r="L139" s="10" t="s">
        <v>117</v>
      </c>
      <c r="M139" s="10" t="s">
        <v>50</v>
      </c>
      <c r="N139" s="10" t="s">
        <v>117</v>
      </c>
      <c r="O139" s="6" t="s">
        <v>8</v>
      </c>
      <c r="P139" s="6">
        <v>6</v>
      </c>
      <c r="Q139" s="6" t="s">
        <v>19</v>
      </c>
      <c r="R139" s="44" t="s">
        <v>698</v>
      </c>
    </row>
    <row r="140" spans="1:18" x14ac:dyDescent="0.25">
      <c r="A140" s="6" t="s">
        <v>23</v>
      </c>
      <c r="B140" s="6">
        <v>12332369</v>
      </c>
      <c r="C140" s="6" t="s">
        <v>9</v>
      </c>
      <c r="D140" s="7" t="s">
        <v>626</v>
      </c>
      <c r="E140" s="8">
        <v>44651</v>
      </c>
      <c r="F140" s="9">
        <v>44658</v>
      </c>
      <c r="G140" s="9">
        <v>44655</v>
      </c>
      <c r="H140" s="3">
        <v>3</v>
      </c>
      <c r="I140" s="7" t="s">
        <v>72</v>
      </c>
      <c r="J140" s="7" t="s">
        <v>73</v>
      </c>
      <c r="K140" s="25" t="s">
        <v>117</v>
      </c>
      <c r="L140" s="10" t="s">
        <v>117</v>
      </c>
      <c r="M140" s="10" t="s">
        <v>50</v>
      </c>
      <c r="N140" s="10" t="s">
        <v>117</v>
      </c>
      <c r="O140" s="6" t="s">
        <v>8</v>
      </c>
      <c r="P140" s="6">
        <v>6</v>
      </c>
      <c r="Q140" s="6" t="s">
        <v>19</v>
      </c>
      <c r="R140" s="44" t="s">
        <v>700</v>
      </c>
    </row>
    <row r="141" spans="1:18" x14ac:dyDescent="0.25">
      <c r="A141" s="6" t="s">
        <v>21</v>
      </c>
      <c r="B141" s="6">
        <v>12330112</v>
      </c>
      <c r="C141" s="6" t="s">
        <v>14</v>
      </c>
      <c r="D141" s="7" t="s">
        <v>597</v>
      </c>
      <c r="E141" s="8">
        <v>44651</v>
      </c>
      <c r="F141" s="9">
        <v>44658</v>
      </c>
      <c r="G141" s="9">
        <v>44655</v>
      </c>
      <c r="H141" s="3">
        <v>3</v>
      </c>
      <c r="I141" s="7" t="s">
        <v>72</v>
      </c>
      <c r="J141" s="7" t="s">
        <v>73</v>
      </c>
      <c r="K141" s="25" t="s">
        <v>117</v>
      </c>
      <c r="L141" s="10" t="s">
        <v>117</v>
      </c>
      <c r="M141" s="10" t="s">
        <v>49</v>
      </c>
      <c r="N141" s="10" t="s">
        <v>117</v>
      </c>
      <c r="O141" s="6" t="s">
        <v>8</v>
      </c>
      <c r="P141" s="6">
        <v>7</v>
      </c>
      <c r="Q141" s="6" t="s">
        <v>20</v>
      </c>
      <c r="R141" s="44" t="s">
        <v>500</v>
      </c>
    </row>
    <row r="142" spans="1:18" x14ac:dyDescent="0.25">
      <c r="A142" s="6" t="s">
        <v>21</v>
      </c>
      <c r="B142" s="6">
        <v>12331087</v>
      </c>
      <c r="C142" s="6" t="s">
        <v>14</v>
      </c>
      <c r="D142" s="7" t="s">
        <v>606</v>
      </c>
      <c r="E142" s="8">
        <v>44651</v>
      </c>
      <c r="F142" s="9">
        <v>44658</v>
      </c>
      <c r="G142" s="9">
        <v>44655</v>
      </c>
      <c r="H142" s="3">
        <v>3</v>
      </c>
      <c r="I142" s="7" t="s">
        <v>72</v>
      </c>
      <c r="J142" s="7" t="s">
        <v>73</v>
      </c>
      <c r="K142" s="25" t="s">
        <v>117</v>
      </c>
      <c r="L142" s="10" t="s">
        <v>117</v>
      </c>
      <c r="M142" s="10" t="s">
        <v>49</v>
      </c>
      <c r="N142" s="10" t="s">
        <v>117</v>
      </c>
      <c r="O142" s="6" t="s">
        <v>8</v>
      </c>
      <c r="P142" s="6">
        <v>7</v>
      </c>
      <c r="Q142" s="6" t="s">
        <v>20</v>
      </c>
      <c r="R142" s="44" t="s">
        <v>525</v>
      </c>
    </row>
    <row r="143" spans="1:18" x14ac:dyDescent="0.25">
      <c r="A143" s="6" t="s">
        <v>21</v>
      </c>
      <c r="B143" s="6">
        <v>12337640</v>
      </c>
      <c r="C143" s="6" t="s">
        <v>14</v>
      </c>
      <c r="D143" s="7" t="s">
        <v>615</v>
      </c>
      <c r="E143" s="8">
        <v>44651</v>
      </c>
      <c r="F143" s="9">
        <v>44658</v>
      </c>
      <c r="G143" s="9">
        <v>44655</v>
      </c>
      <c r="H143" s="3">
        <v>3</v>
      </c>
      <c r="I143" s="7" t="s">
        <v>72</v>
      </c>
      <c r="J143" s="7" t="s">
        <v>73</v>
      </c>
      <c r="K143" s="25" t="s">
        <v>117</v>
      </c>
      <c r="L143" s="10" t="s">
        <v>117</v>
      </c>
      <c r="M143" s="10" t="s">
        <v>49</v>
      </c>
      <c r="N143" s="10" t="s">
        <v>117</v>
      </c>
      <c r="O143" s="6" t="s">
        <v>8</v>
      </c>
      <c r="P143" s="6">
        <v>7</v>
      </c>
      <c r="Q143" s="6" t="s">
        <v>20</v>
      </c>
      <c r="R143" s="44" t="s">
        <v>735</v>
      </c>
    </row>
    <row r="144" spans="1:18" x14ac:dyDescent="0.25">
      <c r="A144" s="6" t="s">
        <v>21</v>
      </c>
      <c r="B144" s="6">
        <v>12337611</v>
      </c>
      <c r="C144" s="6" t="s">
        <v>14</v>
      </c>
      <c r="D144" s="7" t="s">
        <v>614</v>
      </c>
      <c r="E144" s="8">
        <v>44651</v>
      </c>
      <c r="F144" s="9">
        <v>44658</v>
      </c>
      <c r="G144" s="9">
        <v>44655</v>
      </c>
      <c r="H144" s="3">
        <v>3</v>
      </c>
      <c r="I144" s="7" t="s">
        <v>72</v>
      </c>
      <c r="J144" s="7" t="s">
        <v>73</v>
      </c>
      <c r="K144" s="25" t="s">
        <v>117</v>
      </c>
      <c r="L144" s="10" t="s">
        <v>117</v>
      </c>
      <c r="M144" s="10" t="s">
        <v>49</v>
      </c>
      <c r="N144" s="10" t="s">
        <v>117</v>
      </c>
      <c r="O144" s="6" t="s">
        <v>8</v>
      </c>
      <c r="P144" s="6">
        <v>7</v>
      </c>
      <c r="Q144" s="6" t="s">
        <v>20</v>
      </c>
      <c r="R144" s="44" t="s">
        <v>736</v>
      </c>
    </row>
    <row r="145" spans="1:18" x14ac:dyDescent="0.25">
      <c r="A145" s="6" t="s">
        <v>21</v>
      </c>
      <c r="B145" s="6">
        <v>12335512</v>
      </c>
      <c r="C145" s="6" t="s">
        <v>14</v>
      </c>
      <c r="D145" s="7" t="s">
        <v>630</v>
      </c>
      <c r="E145" s="8">
        <v>44651</v>
      </c>
      <c r="F145" s="9">
        <v>44658</v>
      </c>
      <c r="G145" s="9">
        <v>44655</v>
      </c>
      <c r="H145" s="3">
        <v>3</v>
      </c>
      <c r="I145" s="7" t="s">
        <v>72</v>
      </c>
      <c r="J145" s="7" t="s">
        <v>73</v>
      </c>
      <c r="K145" s="25" t="s">
        <v>117</v>
      </c>
      <c r="L145" s="10" t="s">
        <v>117</v>
      </c>
      <c r="M145" s="10" t="s">
        <v>49</v>
      </c>
      <c r="N145" s="10" t="s">
        <v>117</v>
      </c>
      <c r="O145" s="6" t="s">
        <v>8</v>
      </c>
      <c r="P145" s="6">
        <v>7</v>
      </c>
      <c r="Q145" s="6" t="s">
        <v>20</v>
      </c>
      <c r="R145" s="44" t="s">
        <v>745</v>
      </c>
    </row>
    <row r="146" spans="1:18" x14ac:dyDescent="0.25">
      <c r="A146" s="6" t="s">
        <v>21</v>
      </c>
      <c r="B146" s="6">
        <v>12327537</v>
      </c>
      <c r="C146" s="6" t="s">
        <v>14</v>
      </c>
      <c r="D146" s="7" t="s">
        <v>631</v>
      </c>
      <c r="E146" s="8">
        <v>44651</v>
      </c>
      <c r="F146" s="9">
        <v>44658</v>
      </c>
      <c r="G146" s="9">
        <v>44655</v>
      </c>
      <c r="H146" s="3">
        <v>3</v>
      </c>
      <c r="I146" s="7" t="s">
        <v>72</v>
      </c>
      <c r="J146" s="7" t="s">
        <v>73</v>
      </c>
      <c r="K146" s="25" t="s">
        <v>117</v>
      </c>
      <c r="L146" s="10" t="s">
        <v>117</v>
      </c>
      <c r="M146" s="10" t="s">
        <v>49</v>
      </c>
      <c r="N146" s="10" t="s">
        <v>117</v>
      </c>
      <c r="O146" s="6" t="s">
        <v>8</v>
      </c>
      <c r="P146" s="6">
        <v>7</v>
      </c>
      <c r="Q146" s="6" t="s">
        <v>20</v>
      </c>
      <c r="R146" s="44" t="s">
        <v>751</v>
      </c>
    </row>
    <row r="147" spans="1:18" x14ac:dyDescent="0.25">
      <c r="A147" s="6" t="s">
        <v>21</v>
      </c>
      <c r="B147" s="6">
        <v>12328007</v>
      </c>
      <c r="C147" s="6" t="s">
        <v>14</v>
      </c>
      <c r="D147" s="7" t="s">
        <v>621</v>
      </c>
      <c r="E147" s="8">
        <v>44651</v>
      </c>
      <c r="F147" s="9">
        <v>44658</v>
      </c>
      <c r="G147" s="9">
        <v>44655</v>
      </c>
      <c r="H147" s="3">
        <v>3</v>
      </c>
      <c r="I147" s="7" t="s">
        <v>72</v>
      </c>
      <c r="J147" s="7" t="s">
        <v>73</v>
      </c>
      <c r="K147" s="25" t="s">
        <v>117</v>
      </c>
      <c r="L147" s="10" t="s">
        <v>117</v>
      </c>
      <c r="M147" s="10" t="s">
        <v>49</v>
      </c>
      <c r="N147" s="10" t="s">
        <v>117</v>
      </c>
      <c r="O147" s="6" t="s">
        <v>8</v>
      </c>
      <c r="P147" s="6">
        <v>7</v>
      </c>
      <c r="Q147" s="6" t="s">
        <v>20</v>
      </c>
      <c r="R147" s="44" t="s">
        <v>757</v>
      </c>
    </row>
    <row r="148" spans="1:18" x14ac:dyDescent="0.25">
      <c r="A148" s="6" t="s">
        <v>21</v>
      </c>
      <c r="B148" s="6">
        <v>12328045</v>
      </c>
      <c r="C148" s="6" t="s">
        <v>14</v>
      </c>
      <c r="D148" s="7" t="s">
        <v>588</v>
      </c>
      <c r="E148" s="8">
        <v>44651</v>
      </c>
      <c r="F148" s="9">
        <v>44658</v>
      </c>
      <c r="G148" s="9">
        <v>44655</v>
      </c>
      <c r="H148" s="3">
        <v>3</v>
      </c>
      <c r="I148" s="7" t="s">
        <v>72</v>
      </c>
      <c r="J148" s="7" t="s">
        <v>73</v>
      </c>
      <c r="K148" s="25" t="s">
        <v>117</v>
      </c>
      <c r="L148" s="10" t="s">
        <v>117</v>
      </c>
      <c r="M148" s="10" t="s">
        <v>49</v>
      </c>
      <c r="N148" s="10" t="s">
        <v>117</v>
      </c>
      <c r="O148" s="6" t="s">
        <v>8</v>
      </c>
      <c r="P148" s="6">
        <v>7</v>
      </c>
      <c r="Q148" s="6" t="s">
        <v>20</v>
      </c>
      <c r="R148" s="44" t="s">
        <v>760</v>
      </c>
    </row>
    <row r="149" spans="1:18" x14ac:dyDescent="0.25">
      <c r="A149" s="6" t="s">
        <v>21</v>
      </c>
      <c r="B149" s="6">
        <v>12332078</v>
      </c>
      <c r="C149" s="6" t="s">
        <v>14</v>
      </c>
      <c r="D149" s="7" t="s">
        <v>598</v>
      </c>
      <c r="E149" s="8">
        <v>44651</v>
      </c>
      <c r="F149" s="9">
        <v>44658</v>
      </c>
      <c r="G149" s="9">
        <v>44655</v>
      </c>
      <c r="H149" s="3">
        <v>3</v>
      </c>
      <c r="I149" s="7" t="s">
        <v>72</v>
      </c>
      <c r="J149" s="7" t="s">
        <v>73</v>
      </c>
      <c r="K149" s="25" t="s">
        <v>117</v>
      </c>
      <c r="L149" s="10" t="s">
        <v>117</v>
      </c>
      <c r="M149" s="10" t="s">
        <v>49</v>
      </c>
      <c r="N149" s="10" t="s">
        <v>117</v>
      </c>
      <c r="O149" s="6" t="s">
        <v>8</v>
      </c>
      <c r="P149" s="6">
        <v>7</v>
      </c>
      <c r="Q149" s="6" t="s">
        <v>20</v>
      </c>
      <c r="R149" s="44" t="s">
        <v>507</v>
      </c>
    </row>
    <row r="150" spans="1:18" x14ac:dyDescent="0.25">
      <c r="A150" s="6" t="s">
        <v>21</v>
      </c>
      <c r="B150" s="6">
        <v>12328504</v>
      </c>
      <c r="C150" s="6" t="s">
        <v>14</v>
      </c>
      <c r="D150" s="7" t="s">
        <v>600</v>
      </c>
      <c r="E150" s="8">
        <v>44651</v>
      </c>
      <c r="F150" s="9">
        <v>44658</v>
      </c>
      <c r="G150" s="9">
        <v>44655</v>
      </c>
      <c r="H150" s="3">
        <v>3</v>
      </c>
      <c r="I150" s="7" t="s">
        <v>72</v>
      </c>
      <c r="J150" s="7" t="s">
        <v>73</v>
      </c>
      <c r="K150" s="25" t="s">
        <v>117</v>
      </c>
      <c r="L150" s="10" t="s">
        <v>117</v>
      </c>
      <c r="M150" s="10" t="s">
        <v>49</v>
      </c>
      <c r="N150" s="10" t="s">
        <v>117</v>
      </c>
      <c r="O150" s="6" t="s">
        <v>8</v>
      </c>
      <c r="P150" s="6">
        <v>7</v>
      </c>
      <c r="Q150" s="6" t="s">
        <v>20</v>
      </c>
      <c r="R150" s="44" t="s">
        <v>514</v>
      </c>
    </row>
    <row r="151" spans="1:18" x14ac:dyDescent="0.25">
      <c r="A151" s="6" t="s">
        <v>21</v>
      </c>
      <c r="B151" s="6">
        <v>12330415</v>
      </c>
      <c r="C151" s="6" t="s">
        <v>14</v>
      </c>
      <c r="D151" s="7" t="s">
        <v>602</v>
      </c>
      <c r="E151" s="8">
        <v>44651</v>
      </c>
      <c r="F151" s="9">
        <v>44658</v>
      </c>
      <c r="G151" s="9">
        <v>44655</v>
      </c>
      <c r="H151" s="3">
        <v>3</v>
      </c>
      <c r="I151" s="7" t="s">
        <v>72</v>
      </c>
      <c r="J151" s="7" t="s">
        <v>73</v>
      </c>
      <c r="K151" s="25" t="s">
        <v>117</v>
      </c>
      <c r="L151" s="10" t="s">
        <v>117</v>
      </c>
      <c r="M151" s="10" t="s">
        <v>49</v>
      </c>
      <c r="N151" s="10" t="s">
        <v>117</v>
      </c>
      <c r="O151" s="6" t="s">
        <v>8</v>
      </c>
      <c r="P151" s="6">
        <v>7</v>
      </c>
      <c r="Q151" s="6" t="s">
        <v>20</v>
      </c>
      <c r="R151" s="44" t="s">
        <v>517</v>
      </c>
    </row>
    <row r="152" spans="1:18" x14ac:dyDescent="0.25">
      <c r="A152" s="6" t="s">
        <v>21</v>
      </c>
      <c r="B152" s="6">
        <v>12330426</v>
      </c>
      <c r="C152" s="6" t="s">
        <v>14</v>
      </c>
      <c r="D152" s="7" t="s">
        <v>604</v>
      </c>
      <c r="E152" s="8">
        <v>44651</v>
      </c>
      <c r="F152" s="9">
        <v>44658</v>
      </c>
      <c r="G152" s="9">
        <v>44655</v>
      </c>
      <c r="H152" s="3">
        <v>3</v>
      </c>
      <c r="I152" s="7" t="s">
        <v>72</v>
      </c>
      <c r="J152" s="7" t="s">
        <v>73</v>
      </c>
      <c r="K152" s="25" t="s">
        <v>117</v>
      </c>
      <c r="L152" s="10" t="s">
        <v>117</v>
      </c>
      <c r="M152" s="10" t="s">
        <v>49</v>
      </c>
      <c r="N152" s="10" t="s">
        <v>117</v>
      </c>
      <c r="O152" s="6" t="s">
        <v>8</v>
      </c>
      <c r="P152" s="6">
        <v>7</v>
      </c>
      <c r="Q152" s="6" t="s">
        <v>20</v>
      </c>
      <c r="R152" s="44" t="s">
        <v>520</v>
      </c>
    </row>
    <row r="153" spans="1:18" x14ac:dyDescent="0.25">
      <c r="A153" s="6" t="s">
        <v>21</v>
      </c>
      <c r="B153" s="6">
        <v>12331303</v>
      </c>
      <c r="C153" s="6" t="s">
        <v>14</v>
      </c>
      <c r="D153" s="7" t="s">
        <v>612</v>
      </c>
      <c r="E153" s="8">
        <v>44651</v>
      </c>
      <c r="F153" s="9">
        <v>44658</v>
      </c>
      <c r="G153" s="9">
        <v>44655</v>
      </c>
      <c r="H153" s="3">
        <v>3</v>
      </c>
      <c r="I153" s="7" t="s">
        <v>72</v>
      </c>
      <c r="J153" s="7" t="s">
        <v>73</v>
      </c>
      <c r="K153" s="25" t="s">
        <v>117</v>
      </c>
      <c r="L153" s="10" t="s">
        <v>117</v>
      </c>
      <c r="M153" s="10" t="s">
        <v>49</v>
      </c>
      <c r="N153" s="10" t="s">
        <v>117</v>
      </c>
      <c r="O153" s="6" t="s">
        <v>8</v>
      </c>
      <c r="P153" s="6">
        <v>7</v>
      </c>
      <c r="Q153" s="6" t="s">
        <v>20</v>
      </c>
      <c r="R153" s="44" t="s">
        <v>534</v>
      </c>
    </row>
    <row r="154" spans="1:18" x14ac:dyDescent="0.25">
      <c r="A154" s="6" t="s">
        <v>21</v>
      </c>
      <c r="B154" s="6">
        <v>12332740</v>
      </c>
      <c r="C154" s="6" t="s">
        <v>14</v>
      </c>
      <c r="D154" s="7" t="s">
        <v>607</v>
      </c>
      <c r="E154" s="8">
        <v>44651</v>
      </c>
      <c r="F154" s="9">
        <v>44658</v>
      </c>
      <c r="G154" s="9">
        <v>44655</v>
      </c>
      <c r="H154" s="3">
        <v>3</v>
      </c>
      <c r="I154" s="7" t="s">
        <v>72</v>
      </c>
      <c r="J154" s="7" t="s">
        <v>73</v>
      </c>
      <c r="K154" s="25" t="s">
        <v>117</v>
      </c>
      <c r="L154" s="10" t="s">
        <v>117</v>
      </c>
      <c r="M154" s="10" t="s">
        <v>49</v>
      </c>
      <c r="N154" s="10" t="s">
        <v>117</v>
      </c>
      <c r="O154" s="6" t="s">
        <v>8</v>
      </c>
      <c r="P154" s="6">
        <v>7</v>
      </c>
      <c r="Q154" s="6" t="s">
        <v>20</v>
      </c>
      <c r="R154" s="44" t="s">
        <v>764</v>
      </c>
    </row>
    <row r="155" spans="1:18" x14ac:dyDescent="0.25">
      <c r="A155" s="6" t="s">
        <v>21</v>
      </c>
      <c r="B155" s="6">
        <v>12337014</v>
      </c>
      <c r="C155" s="6" t="s">
        <v>14</v>
      </c>
      <c r="D155" s="7" t="s">
        <v>609</v>
      </c>
      <c r="E155" s="8">
        <v>44651</v>
      </c>
      <c r="F155" s="9">
        <v>44658</v>
      </c>
      <c r="G155" s="9">
        <v>44655</v>
      </c>
      <c r="H155" s="3">
        <v>3</v>
      </c>
      <c r="I155" s="7" t="s">
        <v>72</v>
      </c>
      <c r="J155" s="7" t="s">
        <v>73</v>
      </c>
      <c r="K155" s="25" t="s">
        <v>117</v>
      </c>
      <c r="L155" s="10" t="s">
        <v>117</v>
      </c>
      <c r="M155" s="10" t="s">
        <v>49</v>
      </c>
      <c r="N155" s="10" t="s">
        <v>117</v>
      </c>
      <c r="O155" s="6" t="s">
        <v>8</v>
      </c>
      <c r="P155" s="6">
        <v>7</v>
      </c>
      <c r="Q155" s="6" t="s">
        <v>20</v>
      </c>
      <c r="R155" s="44" t="s">
        <v>768</v>
      </c>
    </row>
    <row r="156" spans="1:18" x14ac:dyDescent="0.25">
      <c r="A156" s="6" t="s">
        <v>21</v>
      </c>
      <c r="B156" s="6">
        <v>12327761</v>
      </c>
      <c r="C156" s="6" t="s">
        <v>14</v>
      </c>
      <c r="D156" s="7" t="s">
        <v>599</v>
      </c>
      <c r="E156" s="8">
        <v>44651</v>
      </c>
      <c r="F156" s="9">
        <v>44658</v>
      </c>
      <c r="G156" s="9">
        <v>44655</v>
      </c>
      <c r="H156" s="3">
        <v>3</v>
      </c>
      <c r="I156" s="7" t="s">
        <v>72</v>
      </c>
      <c r="J156" s="7" t="s">
        <v>73</v>
      </c>
      <c r="K156" s="25" t="s">
        <v>117</v>
      </c>
      <c r="L156" s="10" t="s">
        <v>117</v>
      </c>
      <c r="M156" s="10" t="s">
        <v>49</v>
      </c>
      <c r="N156" s="10" t="s">
        <v>117</v>
      </c>
      <c r="O156" s="6" t="s">
        <v>8</v>
      </c>
      <c r="P156" s="6">
        <v>7</v>
      </c>
      <c r="Q156" s="6" t="s">
        <v>20</v>
      </c>
      <c r="R156" s="44" t="s">
        <v>775</v>
      </c>
    </row>
    <row r="157" spans="1:18" x14ac:dyDescent="0.25">
      <c r="A157" s="6" t="s">
        <v>21</v>
      </c>
      <c r="B157" s="6">
        <v>12338655</v>
      </c>
      <c r="C157" s="6" t="s">
        <v>14</v>
      </c>
      <c r="D157" s="7" t="s">
        <v>618</v>
      </c>
      <c r="E157" s="8">
        <v>44651</v>
      </c>
      <c r="F157" s="9">
        <v>44658</v>
      </c>
      <c r="G157" s="9">
        <v>44655</v>
      </c>
      <c r="H157" s="3">
        <v>3</v>
      </c>
      <c r="I157" s="7" t="s">
        <v>72</v>
      </c>
      <c r="J157" s="7" t="s">
        <v>73</v>
      </c>
      <c r="K157" s="25" t="s">
        <v>117</v>
      </c>
      <c r="L157" s="10" t="s">
        <v>117</v>
      </c>
      <c r="M157" s="10" t="s">
        <v>49</v>
      </c>
      <c r="N157" s="10" t="s">
        <v>117</v>
      </c>
      <c r="O157" s="6" t="s">
        <v>8</v>
      </c>
      <c r="P157" s="6">
        <v>7</v>
      </c>
      <c r="Q157" s="6" t="s">
        <v>20</v>
      </c>
      <c r="R157" s="44" t="s">
        <v>782</v>
      </c>
    </row>
    <row r="158" spans="1:18" x14ac:dyDescent="0.25">
      <c r="A158" s="6" t="s">
        <v>21</v>
      </c>
      <c r="B158" s="6">
        <v>12335951</v>
      </c>
      <c r="C158" s="6" t="s">
        <v>14</v>
      </c>
      <c r="D158" s="7" t="s">
        <v>608</v>
      </c>
      <c r="E158" s="8">
        <v>44651</v>
      </c>
      <c r="F158" s="9">
        <v>44658</v>
      </c>
      <c r="G158" s="9">
        <v>44655</v>
      </c>
      <c r="H158" s="3">
        <v>3</v>
      </c>
      <c r="I158" s="7" t="s">
        <v>72</v>
      </c>
      <c r="J158" s="7" t="s">
        <v>73</v>
      </c>
      <c r="K158" s="25" t="s">
        <v>117</v>
      </c>
      <c r="L158" s="10" t="s">
        <v>117</v>
      </c>
      <c r="M158" s="10" t="s">
        <v>49</v>
      </c>
      <c r="N158" s="10" t="s">
        <v>117</v>
      </c>
      <c r="O158" s="6" t="s">
        <v>8</v>
      </c>
      <c r="P158" s="6">
        <v>7</v>
      </c>
      <c r="Q158" s="6" t="s">
        <v>20</v>
      </c>
      <c r="R158" s="44" t="s">
        <v>784</v>
      </c>
    </row>
    <row r="159" spans="1:18" x14ac:dyDescent="0.25">
      <c r="A159" s="5" t="s">
        <v>21</v>
      </c>
      <c r="B159" s="5">
        <v>12327607</v>
      </c>
      <c r="C159" s="5" t="s">
        <v>14</v>
      </c>
      <c r="D159" s="7" t="s">
        <v>587</v>
      </c>
      <c r="E159" s="8">
        <v>44651</v>
      </c>
      <c r="F159" s="9">
        <v>44658</v>
      </c>
      <c r="G159" s="9">
        <v>44655</v>
      </c>
      <c r="H159" s="3">
        <v>3</v>
      </c>
      <c r="I159" s="7" t="s">
        <v>72</v>
      </c>
      <c r="J159" s="7" t="s">
        <v>73</v>
      </c>
      <c r="K159" s="25" t="s">
        <v>117</v>
      </c>
      <c r="L159" s="10" t="s">
        <v>117</v>
      </c>
      <c r="M159" s="10" t="s">
        <v>49</v>
      </c>
      <c r="N159" s="10" t="s">
        <v>117</v>
      </c>
      <c r="O159" s="5" t="s">
        <v>8</v>
      </c>
      <c r="P159" s="5">
        <v>7</v>
      </c>
      <c r="Q159" s="5" t="s">
        <v>20</v>
      </c>
      <c r="R159" s="43" t="s">
        <v>789</v>
      </c>
    </row>
    <row r="160" spans="1:18" x14ac:dyDescent="0.25">
      <c r="A160" s="6" t="s">
        <v>21</v>
      </c>
      <c r="B160" s="6">
        <v>12326896</v>
      </c>
      <c r="C160" s="6" t="s">
        <v>14</v>
      </c>
      <c r="D160" s="7" t="s">
        <v>619</v>
      </c>
      <c r="E160" s="8">
        <v>44651</v>
      </c>
      <c r="F160" s="9">
        <v>44658</v>
      </c>
      <c r="G160" s="9">
        <v>44655</v>
      </c>
      <c r="H160" s="3">
        <v>3</v>
      </c>
      <c r="I160" s="7" t="s">
        <v>72</v>
      </c>
      <c r="J160" s="7" t="s">
        <v>73</v>
      </c>
      <c r="K160" s="25" t="s">
        <v>117</v>
      </c>
      <c r="L160" s="10" t="s">
        <v>117</v>
      </c>
      <c r="M160" s="10" t="s">
        <v>49</v>
      </c>
      <c r="N160" s="10" t="s">
        <v>117</v>
      </c>
      <c r="O160" s="6" t="s">
        <v>8</v>
      </c>
      <c r="P160" s="6">
        <v>7</v>
      </c>
      <c r="Q160" s="6" t="s">
        <v>20</v>
      </c>
      <c r="R160" s="44" t="s">
        <v>793</v>
      </c>
    </row>
    <row r="161" spans="1:18" x14ac:dyDescent="0.25">
      <c r="A161" s="6" t="s">
        <v>75</v>
      </c>
      <c r="B161" s="6">
        <v>12329937</v>
      </c>
      <c r="C161" s="6" t="s">
        <v>9</v>
      </c>
      <c r="D161" s="7" t="s">
        <v>590</v>
      </c>
      <c r="E161" s="8">
        <v>44651</v>
      </c>
      <c r="F161" s="9">
        <v>44658</v>
      </c>
      <c r="G161" s="9">
        <v>44655</v>
      </c>
      <c r="H161" s="3">
        <v>3</v>
      </c>
      <c r="I161" s="7" t="s">
        <v>72</v>
      </c>
      <c r="J161" s="7" t="s">
        <v>73</v>
      </c>
      <c r="K161" s="25" t="s">
        <v>117</v>
      </c>
      <c r="L161" s="10" t="s">
        <v>117</v>
      </c>
      <c r="M161" s="10" t="s">
        <v>47</v>
      </c>
      <c r="N161" s="10" t="s">
        <v>117</v>
      </c>
      <c r="O161" s="6" t="s">
        <v>8</v>
      </c>
      <c r="P161" s="6">
        <v>2</v>
      </c>
      <c r="Q161" s="6" t="s">
        <v>12</v>
      </c>
      <c r="R161" s="44" t="s">
        <v>465</v>
      </c>
    </row>
    <row r="162" spans="1:18" x14ac:dyDescent="0.25">
      <c r="A162" s="5" t="s">
        <v>119</v>
      </c>
      <c r="B162" s="5">
        <v>12329937</v>
      </c>
      <c r="C162" s="5" t="s">
        <v>24</v>
      </c>
      <c r="D162" s="7" t="s">
        <v>590</v>
      </c>
      <c r="E162" s="8">
        <v>44651</v>
      </c>
      <c r="F162" s="9">
        <v>44658</v>
      </c>
      <c r="G162" s="9">
        <v>44655</v>
      </c>
      <c r="H162" s="3">
        <v>3</v>
      </c>
      <c r="I162" s="7" t="s">
        <v>72</v>
      </c>
      <c r="J162" s="7" t="s">
        <v>73</v>
      </c>
      <c r="K162" s="25" t="s">
        <v>117</v>
      </c>
      <c r="L162" s="10" t="s">
        <v>117</v>
      </c>
      <c r="M162" s="10" t="s">
        <v>47</v>
      </c>
      <c r="N162" s="10" t="s">
        <v>117</v>
      </c>
      <c r="O162" s="5" t="s">
        <v>8</v>
      </c>
      <c r="P162" s="5">
        <v>2</v>
      </c>
      <c r="Q162" s="5" t="s">
        <v>12</v>
      </c>
      <c r="R162" s="43" t="s">
        <v>465</v>
      </c>
    </row>
    <row r="163" spans="1:18" x14ac:dyDescent="0.25">
      <c r="A163" s="6" t="s">
        <v>22</v>
      </c>
      <c r="B163" s="6">
        <v>12337257</v>
      </c>
      <c r="C163" s="6" t="s">
        <v>9</v>
      </c>
      <c r="D163" s="7" t="s">
        <v>634</v>
      </c>
      <c r="E163" s="8">
        <v>44651</v>
      </c>
      <c r="F163" s="9">
        <v>44658</v>
      </c>
      <c r="G163" s="9">
        <v>44655</v>
      </c>
      <c r="H163" s="3">
        <v>3</v>
      </c>
      <c r="I163" s="7" t="s">
        <v>72</v>
      </c>
      <c r="J163" s="7" t="s">
        <v>73</v>
      </c>
      <c r="K163" s="25" t="s">
        <v>117</v>
      </c>
      <c r="L163" s="10" t="s">
        <v>117</v>
      </c>
      <c r="M163" s="10" t="s">
        <v>47</v>
      </c>
      <c r="N163" s="10" t="s">
        <v>117</v>
      </c>
      <c r="O163" s="6" t="s">
        <v>27</v>
      </c>
      <c r="P163" s="6">
        <v>2</v>
      </c>
      <c r="Q163" s="6" t="s">
        <v>12</v>
      </c>
      <c r="R163" s="44" t="s">
        <v>568</v>
      </c>
    </row>
    <row r="164" spans="1:18" x14ac:dyDescent="0.25">
      <c r="A164" s="5" t="s">
        <v>22</v>
      </c>
      <c r="B164" s="5">
        <v>12325605</v>
      </c>
      <c r="C164" s="5" t="s">
        <v>24</v>
      </c>
      <c r="D164" s="7" t="s">
        <v>641</v>
      </c>
      <c r="E164" s="8">
        <v>44651</v>
      </c>
      <c r="F164" s="9">
        <v>44658</v>
      </c>
      <c r="G164" s="9">
        <v>44655</v>
      </c>
      <c r="H164" s="3">
        <v>3</v>
      </c>
      <c r="I164" s="7" t="s">
        <v>72</v>
      </c>
      <c r="J164" s="7" t="s">
        <v>73</v>
      </c>
      <c r="K164" s="25" t="s">
        <v>117</v>
      </c>
      <c r="L164" s="10" t="s">
        <v>117</v>
      </c>
      <c r="M164" s="10" t="s">
        <v>47</v>
      </c>
      <c r="N164" s="10" t="s">
        <v>117</v>
      </c>
      <c r="O164" s="5" t="s">
        <v>28</v>
      </c>
      <c r="P164" s="5">
        <v>2</v>
      </c>
      <c r="Q164" s="5" t="s">
        <v>30</v>
      </c>
      <c r="R164" s="43" t="s">
        <v>575</v>
      </c>
    </row>
    <row r="165" spans="1:18" x14ac:dyDescent="0.25">
      <c r="A165" s="6" t="s">
        <v>15</v>
      </c>
      <c r="B165" s="6">
        <v>12341906</v>
      </c>
      <c r="C165" s="6" t="s">
        <v>9</v>
      </c>
      <c r="D165" s="7" t="s">
        <v>817</v>
      </c>
      <c r="E165" s="8">
        <v>44654</v>
      </c>
      <c r="F165" s="9">
        <v>44659</v>
      </c>
      <c r="G165" s="9">
        <v>44655</v>
      </c>
      <c r="H165" s="3">
        <v>1</v>
      </c>
      <c r="I165" s="7" t="s">
        <v>818</v>
      </c>
      <c r="J165" s="7" t="s">
        <v>73</v>
      </c>
      <c r="K165" s="25" t="s">
        <v>117</v>
      </c>
      <c r="L165" s="10" t="s">
        <v>117</v>
      </c>
      <c r="M165" s="10" t="s">
        <v>47</v>
      </c>
      <c r="N165" s="10" t="s">
        <v>117</v>
      </c>
      <c r="O165" s="6" t="s">
        <v>26</v>
      </c>
      <c r="P165" s="6">
        <v>2</v>
      </c>
      <c r="Q165" s="6" t="s">
        <v>12</v>
      </c>
      <c r="R165" s="44" t="s">
        <v>650</v>
      </c>
    </row>
    <row r="166" spans="1:18" x14ac:dyDescent="0.25">
      <c r="A166" s="5" t="s">
        <v>17</v>
      </c>
      <c r="B166" s="5">
        <v>12342406</v>
      </c>
      <c r="C166" s="5" t="s">
        <v>9</v>
      </c>
      <c r="D166" s="7" t="s">
        <v>819</v>
      </c>
      <c r="E166" s="8">
        <v>44654</v>
      </c>
      <c r="F166" s="9">
        <v>44659</v>
      </c>
      <c r="G166" s="9">
        <v>44655</v>
      </c>
      <c r="H166" s="3">
        <v>1</v>
      </c>
      <c r="I166" s="7" t="s">
        <v>818</v>
      </c>
      <c r="J166" s="7" t="s">
        <v>73</v>
      </c>
      <c r="K166" s="25" t="s">
        <v>117</v>
      </c>
      <c r="L166" s="10" t="s">
        <v>117</v>
      </c>
      <c r="M166" s="10" t="s">
        <v>47</v>
      </c>
      <c r="N166" s="10" t="s">
        <v>117</v>
      </c>
      <c r="O166" s="5" t="s">
        <v>26</v>
      </c>
      <c r="P166" s="5">
        <v>2</v>
      </c>
      <c r="Q166" s="5" t="s">
        <v>12</v>
      </c>
      <c r="R166" s="43" t="s">
        <v>651</v>
      </c>
    </row>
    <row r="167" spans="1:18" x14ac:dyDescent="0.25">
      <c r="A167" s="6" t="s">
        <v>15</v>
      </c>
      <c r="B167" s="6">
        <v>12342663</v>
      </c>
      <c r="C167" s="6" t="s">
        <v>9</v>
      </c>
      <c r="D167" s="7" t="s">
        <v>820</v>
      </c>
      <c r="E167" s="8">
        <v>44654</v>
      </c>
      <c r="F167" s="9">
        <v>44659</v>
      </c>
      <c r="G167" s="9">
        <v>44655</v>
      </c>
      <c r="H167" s="3">
        <v>1</v>
      </c>
      <c r="I167" s="7" t="s">
        <v>818</v>
      </c>
      <c r="J167" s="7" t="s">
        <v>73</v>
      </c>
      <c r="K167" s="25" t="s">
        <v>117</v>
      </c>
      <c r="L167" s="10" t="s">
        <v>117</v>
      </c>
      <c r="M167" s="10" t="s">
        <v>47</v>
      </c>
      <c r="N167" s="10" t="s">
        <v>117</v>
      </c>
      <c r="O167" s="6" t="s">
        <v>26</v>
      </c>
      <c r="P167" s="6">
        <v>2</v>
      </c>
      <c r="Q167" s="6" t="s">
        <v>12</v>
      </c>
      <c r="R167" s="44" t="s">
        <v>652</v>
      </c>
    </row>
    <row r="168" spans="1:18" x14ac:dyDescent="0.25">
      <c r="A168" s="6" t="s">
        <v>17</v>
      </c>
      <c r="B168" s="6">
        <v>12342875</v>
      </c>
      <c r="C168" s="6" t="s">
        <v>9</v>
      </c>
      <c r="D168" s="7" t="s">
        <v>821</v>
      </c>
      <c r="E168" s="8">
        <v>44654</v>
      </c>
      <c r="F168" s="9">
        <v>44659</v>
      </c>
      <c r="G168" s="9">
        <v>44655</v>
      </c>
      <c r="H168" s="3">
        <v>1</v>
      </c>
      <c r="I168" s="7" t="s">
        <v>818</v>
      </c>
      <c r="J168" s="7" t="s">
        <v>73</v>
      </c>
      <c r="K168" s="25" t="s">
        <v>117</v>
      </c>
      <c r="L168" s="10" t="s">
        <v>117</v>
      </c>
      <c r="M168" s="10" t="s">
        <v>47</v>
      </c>
      <c r="N168" s="10" t="s">
        <v>117</v>
      </c>
      <c r="O168" s="6" t="s">
        <v>26</v>
      </c>
      <c r="P168" s="6">
        <v>2</v>
      </c>
      <c r="Q168" s="6" t="s">
        <v>12</v>
      </c>
      <c r="R168" s="44" t="s">
        <v>653</v>
      </c>
    </row>
    <row r="169" spans="1:18" x14ac:dyDescent="0.25">
      <c r="A169" s="5" t="s">
        <v>15</v>
      </c>
      <c r="B169" s="5">
        <v>12344261</v>
      </c>
      <c r="C169" s="5" t="s">
        <v>9</v>
      </c>
      <c r="D169" s="7" t="s">
        <v>822</v>
      </c>
      <c r="E169" s="8">
        <v>44654</v>
      </c>
      <c r="F169" s="9">
        <v>44659</v>
      </c>
      <c r="G169" s="9">
        <v>44655</v>
      </c>
      <c r="H169" s="3">
        <v>1</v>
      </c>
      <c r="I169" s="7" t="s">
        <v>818</v>
      </c>
      <c r="J169" s="7" t="s">
        <v>73</v>
      </c>
      <c r="K169" s="25" t="s">
        <v>117</v>
      </c>
      <c r="L169" s="10" t="s">
        <v>117</v>
      </c>
      <c r="M169" s="10" t="s">
        <v>47</v>
      </c>
      <c r="N169" s="10" t="s">
        <v>117</v>
      </c>
      <c r="O169" s="5" t="s">
        <v>26</v>
      </c>
      <c r="P169" s="5">
        <v>2</v>
      </c>
      <c r="Q169" s="5" t="s">
        <v>12</v>
      </c>
      <c r="R169" s="43" t="s">
        <v>654</v>
      </c>
    </row>
    <row r="170" spans="1:18" x14ac:dyDescent="0.25">
      <c r="A170" s="6" t="s">
        <v>17</v>
      </c>
      <c r="B170" s="6">
        <v>12344392</v>
      </c>
      <c r="C170" s="6" t="s">
        <v>9</v>
      </c>
      <c r="D170" s="7" t="s">
        <v>823</v>
      </c>
      <c r="E170" s="8">
        <v>44654</v>
      </c>
      <c r="F170" s="9">
        <v>44659</v>
      </c>
      <c r="G170" s="9">
        <v>44655</v>
      </c>
      <c r="H170" s="3">
        <v>1</v>
      </c>
      <c r="I170" s="7" t="s">
        <v>818</v>
      </c>
      <c r="J170" s="7" t="s">
        <v>73</v>
      </c>
      <c r="K170" s="25" t="s">
        <v>117</v>
      </c>
      <c r="L170" s="10" t="s">
        <v>117</v>
      </c>
      <c r="M170" s="10" t="s">
        <v>47</v>
      </c>
      <c r="N170" s="10" t="s">
        <v>117</v>
      </c>
      <c r="O170" s="6" t="s">
        <v>26</v>
      </c>
      <c r="P170" s="6">
        <v>2</v>
      </c>
      <c r="Q170" s="6" t="s">
        <v>12</v>
      </c>
      <c r="R170" s="44" t="s">
        <v>655</v>
      </c>
    </row>
    <row r="171" spans="1:18" x14ac:dyDescent="0.25">
      <c r="A171" s="6" t="s">
        <v>15</v>
      </c>
      <c r="B171" s="6">
        <v>12347832</v>
      </c>
      <c r="C171" s="6" t="s">
        <v>9</v>
      </c>
      <c r="D171" s="7" t="s">
        <v>824</v>
      </c>
      <c r="E171" s="8">
        <v>44654</v>
      </c>
      <c r="F171" s="9">
        <v>44659</v>
      </c>
      <c r="G171" s="9">
        <v>44655</v>
      </c>
      <c r="H171" s="3">
        <v>1</v>
      </c>
      <c r="I171" s="7" t="s">
        <v>818</v>
      </c>
      <c r="J171" s="7" t="s">
        <v>73</v>
      </c>
      <c r="K171" s="25" t="s">
        <v>117</v>
      </c>
      <c r="L171" s="10" t="s">
        <v>117</v>
      </c>
      <c r="M171" s="10" t="s">
        <v>47</v>
      </c>
      <c r="N171" s="10" t="s">
        <v>117</v>
      </c>
      <c r="O171" s="6" t="s">
        <v>26</v>
      </c>
      <c r="P171" s="6">
        <v>2</v>
      </c>
      <c r="Q171" s="6" t="s">
        <v>12</v>
      </c>
      <c r="R171" s="44" t="s">
        <v>656</v>
      </c>
    </row>
    <row r="172" spans="1:18" x14ac:dyDescent="0.25">
      <c r="A172" s="6" t="s">
        <v>17</v>
      </c>
      <c r="B172" s="6">
        <v>12348052</v>
      </c>
      <c r="C172" s="6" t="s">
        <v>9</v>
      </c>
      <c r="D172" s="7" t="s">
        <v>825</v>
      </c>
      <c r="E172" s="8">
        <v>44654</v>
      </c>
      <c r="F172" s="9">
        <v>44659</v>
      </c>
      <c r="G172" s="9">
        <v>44655</v>
      </c>
      <c r="H172" s="3">
        <v>1</v>
      </c>
      <c r="I172" s="7" t="s">
        <v>818</v>
      </c>
      <c r="J172" s="7" t="s">
        <v>73</v>
      </c>
      <c r="K172" s="25" t="s">
        <v>117</v>
      </c>
      <c r="L172" s="10" t="s">
        <v>117</v>
      </c>
      <c r="M172" s="10" t="s">
        <v>47</v>
      </c>
      <c r="N172" s="10" t="s">
        <v>117</v>
      </c>
      <c r="O172" s="6" t="s">
        <v>26</v>
      </c>
      <c r="P172" s="6">
        <v>2</v>
      </c>
      <c r="Q172" s="6" t="s">
        <v>12</v>
      </c>
      <c r="R172" s="44" t="s">
        <v>657</v>
      </c>
    </row>
    <row r="173" spans="1:18" x14ac:dyDescent="0.25">
      <c r="A173" s="6" t="s">
        <v>15</v>
      </c>
      <c r="B173" s="6">
        <v>12349159</v>
      </c>
      <c r="C173" s="6" t="s">
        <v>9</v>
      </c>
      <c r="D173" s="7" t="s">
        <v>826</v>
      </c>
      <c r="E173" s="8">
        <v>44654</v>
      </c>
      <c r="F173" s="9">
        <v>44659</v>
      </c>
      <c r="G173" s="9">
        <v>44655</v>
      </c>
      <c r="H173" s="3">
        <v>1</v>
      </c>
      <c r="I173" s="7" t="s">
        <v>818</v>
      </c>
      <c r="J173" s="7" t="s">
        <v>73</v>
      </c>
      <c r="K173" s="25" t="s">
        <v>117</v>
      </c>
      <c r="L173" s="10" t="s">
        <v>117</v>
      </c>
      <c r="M173" s="10" t="s">
        <v>47</v>
      </c>
      <c r="N173" s="10" t="s">
        <v>117</v>
      </c>
      <c r="O173" s="6" t="s">
        <v>26</v>
      </c>
      <c r="P173" s="6">
        <v>2</v>
      </c>
      <c r="Q173" s="6" t="s">
        <v>12</v>
      </c>
      <c r="R173" s="44" t="s">
        <v>658</v>
      </c>
    </row>
    <row r="174" spans="1:18" x14ac:dyDescent="0.25">
      <c r="A174" s="5" t="s">
        <v>17</v>
      </c>
      <c r="B174" s="5">
        <v>12349193</v>
      </c>
      <c r="C174" s="5" t="s">
        <v>9</v>
      </c>
      <c r="D174" s="7" t="s">
        <v>827</v>
      </c>
      <c r="E174" s="8">
        <v>44654</v>
      </c>
      <c r="F174" s="9">
        <v>44659</v>
      </c>
      <c r="G174" s="9">
        <v>44655</v>
      </c>
      <c r="H174" s="3">
        <v>1</v>
      </c>
      <c r="I174" s="7" t="s">
        <v>818</v>
      </c>
      <c r="J174" s="7" t="s">
        <v>73</v>
      </c>
      <c r="K174" s="25" t="s">
        <v>117</v>
      </c>
      <c r="L174" s="10" t="s">
        <v>117</v>
      </c>
      <c r="M174" s="10" t="s">
        <v>47</v>
      </c>
      <c r="N174" s="10" t="s">
        <v>117</v>
      </c>
      <c r="O174" s="5" t="s">
        <v>26</v>
      </c>
      <c r="P174" s="5">
        <v>2</v>
      </c>
      <c r="Q174" s="5" t="s">
        <v>12</v>
      </c>
      <c r="R174" s="43" t="s">
        <v>659</v>
      </c>
    </row>
    <row r="175" spans="1:18" x14ac:dyDescent="0.25">
      <c r="A175" s="5" t="s">
        <v>15</v>
      </c>
      <c r="B175" s="5">
        <v>12349241</v>
      </c>
      <c r="C175" s="5" t="s">
        <v>9</v>
      </c>
      <c r="D175" s="7" t="s">
        <v>828</v>
      </c>
      <c r="E175" s="8">
        <v>44654</v>
      </c>
      <c r="F175" s="9">
        <v>44659</v>
      </c>
      <c r="G175" s="9">
        <v>44655</v>
      </c>
      <c r="H175" s="3">
        <v>1</v>
      </c>
      <c r="I175" s="7" t="s">
        <v>818</v>
      </c>
      <c r="J175" s="7" t="s">
        <v>73</v>
      </c>
      <c r="K175" s="25" t="s">
        <v>117</v>
      </c>
      <c r="L175" s="10" t="s">
        <v>117</v>
      </c>
      <c r="M175" s="10" t="s">
        <v>47</v>
      </c>
      <c r="N175" s="10" t="s">
        <v>117</v>
      </c>
      <c r="O175" s="5" t="s">
        <v>26</v>
      </c>
      <c r="P175" s="5">
        <v>2</v>
      </c>
      <c r="Q175" s="5" t="s">
        <v>12</v>
      </c>
      <c r="R175" s="43" t="s">
        <v>660</v>
      </c>
    </row>
    <row r="176" spans="1:18" x14ac:dyDescent="0.25">
      <c r="A176" s="5" t="s">
        <v>17</v>
      </c>
      <c r="B176" s="5">
        <v>12352665</v>
      </c>
      <c r="C176" s="5" t="s">
        <v>9</v>
      </c>
      <c r="D176" s="7" t="s">
        <v>829</v>
      </c>
      <c r="E176" s="8">
        <v>44654</v>
      </c>
      <c r="F176" s="9">
        <v>44659</v>
      </c>
      <c r="G176" s="9">
        <v>44655</v>
      </c>
      <c r="H176" s="3">
        <v>1</v>
      </c>
      <c r="I176" s="7" t="s">
        <v>818</v>
      </c>
      <c r="J176" s="7" t="s">
        <v>73</v>
      </c>
      <c r="K176" s="25" t="s">
        <v>117</v>
      </c>
      <c r="L176" s="10" t="s">
        <v>117</v>
      </c>
      <c r="M176" s="10" t="s">
        <v>47</v>
      </c>
      <c r="N176" s="10" t="s">
        <v>117</v>
      </c>
      <c r="O176" s="5" t="s">
        <v>26</v>
      </c>
      <c r="P176" s="5">
        <v>2</v>
      </c>
      <c r="Q176" s="5" t="s">
        <v>12</v>
      </c>
      <c r="R176" s="43" t="s">
        <v>661</v>
      </c>
    </row>
    <row r="177" spans="1:18" x14ac:dyDescent="0.25">
      <c r="A177" s="6" t="s">
        <v>15</v>
      </c>
      <c r="B177" s="6">
        <v>12341515</v>
      </c>
      <c r="C177" s="6" t="s">
        <v>9</v>
      </c>
      <c r="D177" s="7" t="s">
        <v>830</v>
      </c>
      <c r="E177" s="8">
        <v>44654</v>
      </c>
      <c r="F177" s="9">
        <v>44659</v>
      </c>
      <c r="G177" s="9">
        <v>44655</v>
      </c>
      <c r="H177" s="3">
        <v>1</v>
      </c>
      <c r="I177" s="7" t="s">
        <v>818</v>
      </c>
      <c r="J177" s="7" t="s">
        <v>73</v>
      </c>
      <c r="K177" s="25" t="s">
        <v>117</v>
      </c>
      <c r="L177" s="10" t="s">
        <v>117</v>
      </c>
      <c r="M177" s="10" t="s">
        <v>47</v>
      </c>
      <c r="N177" s="10" t="s">
        <v>117</v>
      </c>
      <c r="O177" s="6" t="s">
        <v>8</v>
      </c>
      <c r="P177" s="6">
        <v>2</v>
      </c>
      <c r="Q177" s="6" t="s">
        <v>12</v>
      </c>
      <c r="R177" s="44" t="s">
        <v>663</v>
      </c>
    </row>
    <row r="178" spans="1:18" x14ac:dyDescent="0.25">
      <c r="A178" s="6" t="s">
        <v>15</v>
      </c>
      <c r="B178" s="6">
        <v>12343234</v>
      </c>
      <c r="C178" s="6" t="s">
        <v>9</v>
      </c>
      <c r="D178" s="7" t="s">
        <v>831</v>
      </c>
      <c r="E178" s="8">
        <v>44654</v>
      </c>
      <c r="F178" s="9">
        <v>44659</v>
      </c>
      <c r="G178" s="9">
        <v>44655</v>
      </c>
      <c r="H178" s="3">
        <v>1</v>
      </c>
      <c r="I178" s="7" t="s">
        <v>818</v>
      </c>
      <c r="J178" s="7" t="s">
        <v>73</v>
      </c>
      <c r="K178" s="25" t="s">
        <v>117</v>
      </c>
      <c r="L178" s="10" t="s">
        <v>117</v>
      </c>
      <c r="M178" s="10" t="s">
        <v>47</v>
      </c>
      <c r="N178" s="10" t="s">
        <v>117</v>
      </c>
      <c r="O178" s="6" t="s">
        <v>8</v>
      </c>
      <c r="P178" s="6">
        <v>2</v>
      </c>
      <c r="Q178" s="6" t="s">
        <v>12</v>
      </c>
      <c r="R178" s="44" t="s">
        <v>666</v>
      </c>
    </row>
    <row r="179" spans="1:18" x14ac:dyDescent="0.25">
      <c r="A179" s="6" t="s">
        <v>17</v>
      </c>
      <c r="B179" s="6">
        <v>12343353</v>
      </c>
      <c r="C179" s="6" t="s">
        <v>9</v>
      </c>
      <c r="D179" s="7" t="s">
        <v>832</v>
      </c>
      <c r="E179" s="8">
        <v>44654</v>
      </c>
      <c r="F179" s="9">
        <v>44659</v>
      </c>
      <c r="G179" s="9">
        <v>44655</v>
      </c>
      <c r="H179" s="3">
        <v>1</v>
      </c>
      <c r="I179" s="7" t="s">
        <v>818</v>
      </c>
      <c r="J179" s="7" t="s">
        <v>73</v>
      </c>
      <c r="K179" s="25" t="s">
        <v>117</v>
      </c>
      <c r="L179" s="10" t="s">
        <v>117</v>
      </c>
      <c r="M179" s="10" t="s">
        <v>47</v>
      </c>
      <c r="N179" s="10" t="s">
        <v>117</v>
      </c>
      <c r="O179" s="6" t="s">
        <v>8</v>
      </c>
      <c r="P179" s="6">
        <v>2</v>
      </c>
      <c r="Q179" s="6" t="s">
        <v>12</v>
      </c>
      <c r="R179" s="44" t="s">
        <v>667</v>
      </c>
    </row>
    <row r="180" spans="1:18" x14ac:dyDescent="0.25">
      <c r="A180" s="6" t="s">
        <v>15</v>
      </c>
      <c r="B180" s="6">
        <v>12343843</v>
      </c>
      <c r="C180" s="6" t="s">
        <v>9</v>
      </c>
      <c r="D180" s="7" t="s">
        <v>833</v>
      </c>
      <c r="E180" s="8">
        <v>44654</v>
      </c>
      <c r="F180" s="9">
        <v>44659</v>
      </c>
      <c r="G180" s="9">
        <v>44655</v>
      </c>
      <c r="H180" s="3">
        <v>1</v>
      </c>
      <c r="I180" s="7" t="s">
        <v>818</v>
      </c>
      <c r="J180" s="7" t="s">
        <v>73</v>
      </c>
      <c r="K180" s="25" t="s">
        <v>117</v>
      </c>
      <c r="L180" s="10" t="s">
        <v>117</v>
      </c>
      <c r="M180" s="10" t="s">
        <v>47</v>
      </c>
      <c r="N180" s="10" t="s">
        <v>117</v>
      </c>
      <c r="O180" s="6" t="s">
        <v>8</v>
      </c>
      <c r="P180" s="6">
        <v>2</v>
      </c>
      <c r="Q180" s="6" t="s">
        <v>12</v>
      </c>
      <c r="R180" s="44" t="s">
        <v>668</v>
      </c>
    </row>
    <row r="181" spans="1:18" x14ac:dyDescent="0.25">
      <c r="A181" s="5" t="s">
        <v>17</v>
      </c>
      <c r="B181" s="5">
        <v>12343846</v>
      </c>
      <c r="C181" s="5" t="s">
        <v>9</v>
      </c>
      <c r="D181" s="7" t="s">
        <v>834</v>
      </c>
      <c r="E181" s="8">
        <v>44654</v>
      </c>
      <c r="F181" s="9">
        <v>44659</v>
      </c>
      <c r="G181" s="9">
        <v>44655</v>
      </c>
      <c r="H181" s="3">
        <v>1</v>
      </c>
      <c r="I181" s="7" t="s">
        <v>818</v>
      </c>
      <c r="J181" s="7" t="s">
        <v>73</v>
      </c>
      <c r="K181" s="25" t="s">
        <v>117</v>
      </c>
      <c r="L181" s="10" t="s">
        <v>117</v>
      </c>
      <c r="M181" s="10" t="s">
        <v>47</v>
      </c>
      <c r="N181" s="10" t="s">
        <v>117</v>
      </c>
      <c r="O181" s="5" t="s">
        <v>8</v>
      </c>
      <c r="P181" s="5">
        <v>2</v>
      </c>
      <c r="Q181" s="5" t="s">
        <v>12</v>
      </c>
      <c r="R181" s="43" t="s">
        <v>669</v>
      </c>
    </row>
    <row r="182" spans="1:18" x14ac:dyDescent="0.25">
      <c r="A182" s="6" t="s">
        <v>15</v>
      </c>
      <c r="B182" s="6">
        <v>12343853</v>
      </c>
      <c r="C182" s="6" t="s">
        <v>9</v>
      </c>
      <c r="D182" s="7" t="s">
        <v>835</v>
      </c>
      <c r="E182" s="8">
        <v>44654</v>
      </c>
      <c r="F182" s="9">
        <v>44659</v>
      </c>
      <c r="G182" s="9">
        <v>44655</v>
      </c>
      <c r="H182" s="3">
        <v>1</v>
      </c>
      <c r="I182" s="7" t="s">
        <v>818</v>
      </c>
      <c r="J182" s="7" t="s">
        <v>73</v>
      </c>
      <c r="K182" s="25" t="s">
        <v>117</v>
      </c>
      <c r="L182" s="10" t="s">
        <v>117</v>
      </c>
      <c r="M182" s="10" t="s">
        <v>47</v>
      </c>
      <c r="N182" s="10" t="s">
        <v>117</v>
      </c>
      <c r="O182" s="6" t="s">
        <v>8</v>
      </c>
      <c r="P182" s="6">
        <v>2</v>
      </c>
      <c r="Q182" s="6" t="s">
        <v>12</v>
      </c>
      <c r="R182" s="44" t="s">
        <v>670</v>
      </c>
    </row>
    <row r="183" spans="1:18" x14ac:dyDescent="0.25">
      <c r="A183" s="6" t="s">
        <v>17</v>
      </c>
      <c r="B183" s="6">
        <v>12344162</v>
      </c>
      <c r="C183" s="6" t="s">
        <v>9</v>
      </c>
      <c r="D183" s="7" t="s">
        <v>836</v>
      </c>
      <c r="E183" s="8">
        <v>44654</v>
      </c>
      <c r="F183" s="9">
        <v>44659</v>
      </c>
      <c r="G183" s="9">
        <v>44655</v>
      </c>
      <c r="H183" s="3">
        <v>1</v>
      </c>
      <c r="I183" s="7" t="s">
        <v>818</v>
      </c>
      <c r="J183" s="7" t="s">
        <v>73</v>
      </c>
      <c r="K183" s="25" t="s">
        <v>117</v>
      </c>
      <c r="L183" s="10" t="s">
        <v>117</v>
      </c>
      <c r="M183" s="10" t="s">
        <v>47</v>
      </c>
      <c r="N183" s="10" t="s">
        <v>117</v>
      </c>
      <c r="O183" s="6" t="s">
        <v>8</v>
      </c>
      <c r="P183" s="6">
        <v>2</v>
      </c>
      <c r="Q183" s="6" t="s">
        <v>12</v>
      </c>
      <c r="R183" s="44" t="s">
        <v>671</v>
      </c>
    </row>
    <row r="184" spans="1:18" x14ac:dyDescent="0.25">
      <c r="A184" s="6" t="s">
        <v>15</v>
      </c>
      <c r="B184" s="6">
        <v>12344631</v>
      </c>
      <c r="C184" s="6" t="s">
        <v>9</v>
      </c>
      <c r="D184" s="7" t="s">
        <v>837</v>
      </c>
      <c r="E184" s="8">
        <v>44654</v>
      </c>
      <c r="F184" s="9">
        <v>44659</v>
      </c>
      <c r="G184" s="9">
        <v>44655</v>
      </c>
      <c r="H184" s="3">
        <v>1</v>
      </c>
      <c r="I184" s="7" t="s">
        <v>818</v>
      </c>
      <c r="J184" s="7" t="s">
        <v>73</v>
      </c>
      <c r="K184" s="25" t="s">
        <v>117</v>
      </c>
      <c r="L184" s="10" t="s">
        <v>117</v>
      </c>
      <c r="M184" s="10" t="s">
        <v>47</v>
      </c>
      <c r="N184" s="10" t="s">
        <v>117</v>
      </c>
      <c r="O184" s="6" t="s">
        <v>8</v>
      </c>
      <c r="P184" s="6">
        <v>2</v>
      </c>
      <c r="Q184" s="6" t="s">
        <v>12</v>
      </c>
      <c r="R184" s="44" t="s">
        <v>675</v>
      </c>
    </row>
    <row r="185" spans="1:18" x14ac:dyDescent="0.25">
      <c r="A185" s="6" t="s">
        <v>17</v>
      </c>
      <c r="B185" s="6">
        <v>12344787</v>
      </c>
      <c r="C185" s="6" t="s">
        <v>9</v>
      </c>
      <c r="D185" s="7" t="s">
        <v>838</v>
      </c>
      <c r="E185" s="8">
        <v>44654</v>
      </c>
      <c r="F185" s="9">
        <v>44659</v>
      </c>
      <c r="G185" s="9">
        <v>44655</v>
      </c>
      <c r="H185" s="3">
        <v>1</v>
      </c>
      <c r="I185" s="7" t="s">
        <v>818</v>
      </c>
      <c r="J185" s="7" t="s">
        <v>73</v>
      </c>
      <c r="K185" s="25" t="s">
        <v>117</v>
      </c>
      <c r="L185" s="10" t="s">
        <v>117</v>
      </c>
      <c r="M185" s="10" t="s">
        <v>47</v>
      </c>
      <c r="N185" s="10" t="s">
        <v>117</v>
      </c>
      <c r="O185" s="6" t="s">
        <v>8</v>
      </c>
      <c r="P185" s="6">
        <v>2</v>
      </c>
      <c r="Q185" s="6" t="s">
        <v>12</v>
      </c>
      <c r="R185" s="44" t="s">
        <v>677</v>
      </c>
    </row>
    <row r="186" spans="1:18" x14ac:dyDescent="0.25">
      <c r="A186" s="6" t="s">
        <v>15</v>
      </c>
      <c r="B186" s="6">
        <v>12345120</v>
      </c>
      <c r="C186" s="6" t="s">
        <v>9</v>
      </c>
      <c r="D186" s="7" t="s">
        <v>839</v>
      </c>
      <c r="E186" s="8">
        <v>44654</v>
      </c>
      <c r="F186" s="9">
        <v>44659</v>
      </c>
      <c r="G186" s="9">
        <v>44655</v>
      </c>
      <c r="H186" s="3">
        <v>1</v>
      </c>
      <c r="I186" s="7" t="s">
        <v>818</v>
      </c>
      <c r="J186" s="7" t="s">
        <v>73</v>
      </c>
      <c r="K186" s="25" t="s">
        <v>117</v>
      </c>
      <c r="L186" s="10" t="s">
        <v>117</v>
      </c>
      <c r="M186" s="10" t="s">
        <v>47</v>
      </c>
      <c r="N186" s="10" t="s">
        <v>117</v>
      </c>
      <c r="O186" s="6" t="s">
        <v>8</v>
      </c>
      <c r="P186" s="6">
        <v>2</v>
      </c>
      <c r="Q186" s="6" t="s">
        <v>12</v>
      </c>
      <c r="R186" s="44" t="s">
        <v>678</v>
      </c>
    </row>
    <row r="187" spans="1:18" x14ac:dyDescent="0.25">
      <c r="A187" s="6" t="s">
        <v>17</v>
      </c>
      <c r="B187" s="6">
        <v>12345375</v>
      </c>
      <c r="C187" s="6" t="s">
        <v>9</v>
      </c>
      <c r="D187" s="7" t="s">
        <v>840</v>
      </c>
      <c r="E187" s="8">
        <v>44654</v>
      </c>
      <c r="F187" s="9">
        <v>44659</v>
      </c>
      <c r="G187" s="9">
        <v>44655</v>
      </c>
      <c r="H187" s="3">
        <v>1</v>
      </c>
      <c r="I187" s="7" t="s">
        <v>818</v>
      </c>
      <c r="J187" s="7" t="s">
        <v>73</v>
      </c>
      <c r="K187" s="25" t="s">
        <v>117</v>
      </c>
      <c r="L187" s="10" t="s">
        <v>117</v>
      </c>
      <c r="M187" s="10" t="s">
        <v>47</v>
      </c>
      <c r="N187" s="10" t="s">
        <v>117</v>
      </c>
      <c r="O187" s="6" t="s">
        <v>8</v>
      </c>
      <c r="P187" s="6">
        <v>2</v>
      </c>
      <c r="Q187" s="6" t="s">
        <v>12</v>
      </c>
      <c r="R187" s="44" t="s">
        <v>679</v>
      </c>
    </row>
    <row r="188" spans="1:18" x14ac:dyDescent="0.25">
      <c r="A188" s="6" t="s">
        <v>76</v>
      </c>
      <c r="B188" s="6">
        <v>12345498</v>
      </c>
      <c r="C188" s="6" t="s">
        <v>9</v>
      </c>
      <c r="D188" s="7" t="s">
        <v>841</v>
      </c>
      <c r="E188" s="8">
        <v>44654</v>
      </c>
      <c r="F188" s="9">
        <v>44659</v>
      </c>
      <c r="G188" s="9">
        <v>44655</v>
      </c>
      <c r="H188" s="3">
        <v>1</v>
      </c>
      <c r="I188" s="7" t="s">
        <v>818</v>
      </c>
      <c r="J188" s="7" t="s">
        <v>73</v>
      </c>
      <c r="K188" s="25" t="s">
        <v>117</v>
      </c>
      <c r="L188" s="10" t="s">
        <v>117</v>
      </c>
      <c r="M188" s="10" t="s">
        <v>47</v>
      </c>
      <c r="N188" s="10" t="s">
        <v>117</v>
      </c>
      <c r="O188" s="6" t="s">
        <v>8</v>
      </c>
      <c r="P188" s="6">
        <v>2</v>
      </c>
      <c r="Q188" s="6" t="s">
        <v>12</v>
      </c>
      <c r="R188" s="44" t="s">
        <v>680</v>
      </c>
    </row>
    <row r="189" spans="1:18" x14ac:dyDescent="0.25">
      <c r="A189" s="6" t="s">
        <v>15</v>
      </c>
      <c r="B189" s="6">
        <v>12345524</v>
      </c>
      <c r="C189" s="6" t="s">
        <v>9</v>
      </c>
      <c r="D189" s="7" t="s">
        <v>842</v>
      </c>
      <c r="E189" s="8">
        <v>44654</v>
      </c>
      <c r="F189" s="9">
        <v>44659</v>
      </c>
      <c r="G189" s="9">
        <v>44655</v>
      </c>
      <c r="H189" s="3">
        <v>1</v>
      </c>
      <c r="I189" s="7" t="s">
        <v>818</v>
      </c>
      <c r="J189" s="7" t="s">
        <v>73</v>
      </c>
      <c r="K189" s="25" t="s">
        <v>117</v>
      </c>
      <c r="L189" s="10" t="s">
        <v>117</v>
      </c>
      <c r="M189" s="10" t="s">
        <v>47</v>
      </c>
      <c r="N189" s="10" t="s">
        <v>117</v>
      </c>
      <c r="O189" s="6" t="s">
        <v>8</v>
      </c>
      <c r="P189" s="6">
        <v>2</v>
      </c>
      <c r="Q189" s="6" t="s">
        <v>12</v>
      </c>
      <c r="R189" s="44" t="s">
        <v>681</v>
      </c>
    </row>
    <row r="190" spans="1:18" x14ac:dyDescent="0.25">
      <c r="A190" s="6" t="s">
        <v>17</v>
      </c>
      <c r="B190" s="6">
        <v>12345535</v>
      </c>
      <c r="C190" s="6" t="s">
        <v>9</v>
      </c>
      <c r="D190" s="7" t="s">
        <v>843</v>
      </c>
      <c r="E190" s="8">
        <v>44654</v>
      </c>
      <c r="F190" s="9">
        <v>44659</v>
      </c>
      <c r="G190" s="9">
        <v>44655</v>
      </c>
      <c r="H190" s="3">
        <v>1</v>
      </c>
      <c r="I190" s="7" t="s">
        <v>818</v>
      </c>
      <c r="J190" s="7" t="s">
        <v>73</v>
      </c>
      <c r="K190" s="25" t="s">
        <v>117</v>
      </c>
      <c r="L190" s="10" t="s">
        <v>117</v>
      </c>
      <c r="M190" s="10" t="s">
        <v>47</v>
      </c>
      <c r="N190" s="10" t="s">
        <v>117</v>
      </c>
      <c r="O190" s="6" t="s">
        <v>8</v>
      </c>
      <c r="P190" s="6">
        <v>2</v>
      </c>
      <c r="Q190" s="6" t="s">
        <v>12</v>
      </c>
      <c r="R190" s="44" t="s">
        <v>682</v>
      </c>
    </row>
    <row r="191" spans="1:18" x14ac:dyDescent="0.25">
      <c r="A191" s="6" t="s">
        <v>15</v>
      </c>
      <c r="B191" s="6">
        <v>12346085</v>
      </c>
      <c r="C191" s="6" t="s">
        <v>9</v>
      </c>
      <c r="D191" s="7" t="s">
        <v>844</v>
      </c>
      <c r="E191" s="8">
        <v>44654</v>
      </c>
      <c r="F191" s="9">
        <v>44659</v>
      </c>
      <c r="G191" s="9">
        <v>44655</v>
      </c>
      <c r="H191" s="3">
        <v>1</v>
      </c>
      <c r="I191" s="7" t="s">
        <v>818</v>
      </c>
      <c r="J191" s="7" t="s">
        <v>73</v>
      </c>
      <c r="K191" s="25" t="s">
        <v>117</v>
      </c>
      <c r="L191" s="10" t="s">
        <v>117</v>
      </c>
      <c r="M191" s="10" t="s">
        <v>47</v>
      </c>
      <c r="N191" s="10" t="s">
        <v>117</v>
      </c>
      <c r="O191" s="6" t="s">
        <v>8</v>
      </c>
      <c r="P191" s="6">
        <v>2</v>
      </c>
      <c r="Q191" s="6" t="s">
        <v>12</v>
      </c>
      <c r="R191" s="44" t="s">
        <v>683</v>
      </c>
    </row>
    <row r="192" spans="1:18" x14ac:dyDescent="0.25">
      <c r="A192" s="5" t="s">
        <v>17</v>
      </c>
      <c r="B192" s="5">
        <v>12346195</v>
      </c>
      <c r="C192" s="5" t="s">
        <v>9</v>
      </c>
      <c r="D192" s="7" t="s">
        <v>845</v>
      </c>
      <c r="E192" s="8">
        <v>44654</v>
      </c>
      <c r="F192" s="9">
        <v>44659</v>
      </c>
      <c r="G192" s="9">
        <v>44655</v>
      </c>
      <c r="H192" s="3">
        <v>1</v>
      </c>
      <c r="I192" s="7" t="s">
        <v>818</v>
      </c>
      <c r="J192" s="7" t="s">
        <v>73</v>
      </c>
      <c r="K192" s="25" t="s">
        <v>117</v>
      </c>
      <c r="L192" s="10" t="s">
        <v>117</v>
      </c>
      <c r="M192" s="10" t="s">
        <v>47</v>
      </c>
      <c r="N192" s="10" t="s">
        <v>117</v>
      </c>
      <c r="O192" s="5" t="s">
        <v>8</v>
      </c>
      <c r="P192" s="5">
        <v>2</v>
      </c>
      <c r="Q192" s="5" t="s">
        <v>12</v>
      </c>
      <c r="R192" s="43" t="s">
        <v>684</v>
      </c>
    </row>
    <row r="193" spans="1:18" x14ac:dyDescent="0.25">
      <c r="A193" s="6" t="s">
        <v>15</v>
      </c>
      <c r="B193" s="6">
        <v>12346919</v>
      </c>
      <c r="C193" s="6" t="s">
        <v>9</v>
      </c>
      <c r="D193" s="7" t="s">
        <v>846</v>
      </c>
      <c r="E193" s="8">
        <v>44654</v>
      </c>
      <c r="F193" s="9">
        <v>44659</v>
      </c>
      <c r="G193" s="9">
        <v>44655</v>
      </c>
      <c r="H193" s="3">
        <v>1</v>
      </c>
      <c r="I193" s="7" t="s">
        <v>818</v>
      </c>
      <c r="J193" s="7" t="s">
        <v>73</v>
      </c>
      <c r="K193" s="25" t="s">
        <v>117</v>
      </c>
      <c r="L193" s="10" t="s">
        <v>117</v>
      </c>
      <c r="M193" s="10" t="s">
        <v>47</v>
      </c>
      <c r="N193" s="10" t="s">
        <v>117</v>
      </c>
      <c r="O193" s="6" t="s">
        <v>8</v>
      </c>
      <c r="P193" s="6">
        <v>2</v>
      </c>
      <c r="Q193" s="6" t="s">
        <v>12</v>
      </c>
      <c r="R193" s="44" t="s">
        <v>689</v>
      </c>
    </row>
    <row r="194" spans="1:18" x14ac:dyDescent="0.25">
      <c r="A194" s="6" t="s">
        <v>17</v>
      </c>
      <c r="B194" s="6">
        <v>12346940</v>
      </c>
      <c r="C194" s="6" t="s">
        <v>9</v>
      </c>
      <c r="D194" s="7" t="s">
        <v>847</v>
      </c>
      <c r="E194" s="8">
        <v>44654</v>
      </c>
      <c r="F194" s="9">
        <v>44659</v>
      </c>
      <c r="G194" s="9">
        <v>44655</v>
      </c>
      <c r="H194" s="3">
        <v>1</v>
      </c>
      <c r="I194" s="7" t="s">
        <v>818</v>
      </c>
      <c r="J194" s="7" t="s">
        <v>73</v>
      </c>
      <c r="K194" s="25" t="s">
        <v>117</v>
      </c>
      <c r="L194" s="10" t="s">
        <v>117</v>
      </c>
      <c r="M194" s="10" t="s">
        <v>47</v>
      </c>
      <c r="N194" s="10" t="s">
        <v>117</v>
      </c>
      <c r="O194" s="6" t="s">
        <v>8</v>
      </c>
      <c r="P194" s="6">
        <v>2</v>
      </c>
      <c r="Q194" s="6" t="s">
        <v>12</v>
      </c>
      <c r="R194" s="44" t="s">
        <v>690</v>
      </c>
    </row>
    <row r="195" spans="1:18" x14ac:dyDescent="0.25">
      <c r="A195" s="6" t="s">
        <v>23</v>
      </c>
      <c r="B195" s="6">
        <v>12342482</v>
      </c>
      <c r="C195" s="6" t="s">
        <v>9</v>
      </c>
      <c r="D195" s="7" t="s">
        <v>848</v>
      </c>
      <c r="E195" s="8">
        <v>44654</v>
      </c>
      <c r="F195" s="9">
        <v>44659</v>
      </c>
      <c r="G195" s="9">
        <v>44655</v>
      </c>
      <c r="H195" s="3">
        <v>1</v>
      </c>
      <c r="I195" s="7" t="s">
        <v>818</v>
      </c>
      <c r="J195" s="7" t="s">
        <v>73</v>
      </c>
      <c r="K195" s="25" t="s">
        <v>117</v>
      </c>
      <c r="L195" s="10" t="s">
        <v>117</v>
      </c>
      <c r="M195" s="10" t="s">
        <v>50</v>
      </c>
      <c r="N195" s="10" t="s">
        <v>117</v>
      </c>
      <c r="O195" s="6" t="s">
        <v>8</v>
      </c>
      <c r="P195" s="6">
        <v>6</v>
      </c>
      <c r="Q195" s="6" t="s">
        <v>19</v>
      </c>
      <c r="R195" s="44" t="s">
        <v>693</v>
      </c>
    </row>
    <row r="196" spans="1:18" x14ac:dyDescent="0.25">
      <c r="A196" s="6" t="s">
        <v>23</v>
      </c>
      <c r="B196" s="6">
        <v>12346508</v>
      </c>
      <c r="C196" s="6" t="s">
        <v>9</v>
      </c>
      <c r="D196" s="7" t="s">
        <v>849</v>
      </c>
      <c r="E196" s="8">
        <v>44654</v>
      </c>
      <c r="F196" s="9">
        <v>44659</v>
      </c>
      <c r="G196" s="9">
        <v>44655</v>
      </c>
      <c r="H196" s="3">
        <v>1</v>
      </c>
      <c r="I196" s="7" t="s">
        <v>818</v>
      </c>
      <c r="J196" s="7" t="s">
        <v>73</v>
      </c>
      <c r="K196" s="25" t="s">
        <v>117</v>
      </c>
      <c r="L196" s="10" t="s">
        <v>117</v>
      </c>
      <c r="M196" s="10" t="s">
        <v>50</v>
      </c>
      <c r="N196" s="10" t="s">
        <v>117</v>
      </c>
      <c r="O196" s="6" t="s">
        <v>8</v>
      </c>
      <c r="P196" s="6">
        <v>6</v>
      </c>
      <c r="Q196" s="6" t="s">
        <v>19</v>
      </c>
      <c r="R196" s="44" t="s">
        <v>696</v>
      </c>
    </row>
    <row r="197" spans="1:18" x14ac:dyDescent="0.25">
      <c r="A197" s="6" t="s">
        <v>23</v>
      </c>
      <c r="B197" s="6">
        <v>12343653</v>
      </c>
      <c r="C197" s="6" t="s">
        <v>9</v>
      </c>
      <c r="D197" s="7" t="s">
        <v>850</v>
      </c>
      <c r="E197" s="8">
        <v>44654</v>
      </c>
      <c r="F197" s="9">
        <v>44659</v>
      </c>
      <c r="G197" s="9">
        <v>44655</v>
      </c>
      <c r="H197" s="3">
        <v>1</v>
      </c>
      <c r="I197" s="7" t="s">
        <v>818</v>
      </c>
      <c r="J197" s="7" t="s">
        <v>73</v>
      </c>
      <c r="K197" s="25" t="s">
        <v>117</v>
      </c>
      <c r="L197" s="10" t="s">
        <v>117</v>
      </c>
      <c r="M197" s="10" t="s">
        <v>50</v>
      </c>
      <c r="N197" s="10" t="s">
        <v>117</v>
      </c>
      <c r="O197" s="6" t="s">
        <v>8</v>
      </c>
      <c r="P197" s="6">
        <v>6</v>
      </c>
      <c r="Q197" s="6" t="s">
        <v>19</v>
      </c>
      <c r="R197" s="44" t="s">
        <v>699</v>
      </c>
    </row>
    <row r="198" spans="1:18" x14ac:dyDescent="0.25">
      <c r="A198" s="6" t="s">
        <v>23</v>
      </c>
      <c r="B198" s="6">
        <v>12341840</v>
      </c>
      <c r="C198" s="6" t="s">
        <v>9</v>
      </c>
      <c r="D198" s="7" t="s">
        <v>851</v>
      </c>
      <c r="E198" s="8">
        <v>44654</v>
      </c>
      <c r="F198" s="9">
        <v>44659</v>
      </c>
      <c r="G198" s="9">
        <v>44655</v>
      </c>
      <c r="H198" s="3">
        <v>1</v>
      </c>
      <c r="I198" s="7" t="s">
        <v>818</v>
      </c>
      <c r="J198" s="7" t="s">
        <v>73</v>
      </c>
      <c r="K198" s="25" t="s">
        <v>117</v>
      </c>
      <c r="L198" s="10" t="s">
        <v>117</v>
      </c>
      <c r="M198" s="10" t="s">
        <v>50</v>
      </c>
      <c r="N198" s="10" t="s">
        <v>117</v>
      </c>
      <c r="O198" s="6" t="s">
        <v>8</v>
      </c>
      <c r="P198" s="6">
        <v>6</v>
      </c>
      <c r="Q198" s="6" t="s">
        <v>19</v>
      </c>
      <c r="R198" s="44" t="s">
        <v>701</v>
      </c>
    </row>
    <row r="199" spans="1:18" x14ac:dyDescent="0.25">
      <c r="A199" s="6" t="s">
        <v>15</v>
      </c>
      <c r="B199" s="6">
        <v>12347901</v>
      </c>
      <c r="C199" s="6" t="s">
        <v>9</v>
      </c>
      <c r="D199" s="7" t="s">
        <v>852</v>
      </c>
      <c r="E199" s="8">
        <v>44654</v>
      </c>
      <c r="F199" s="9">
        <v>44659</v>
      </c>
      <c r="G199" s="9">
        <v>44655</v>
      </c>
      <c r="H199" s="3">
        <v>1</v>
      </c>
      <c r="I199" s="7" t="s">
        <v>818</v>
      </c>
      <c r="J199" s="7" t="s">
        <v>73</v>
      </c>
      <c r="K199" s="25" t="s">
        <v>117</v>
      </c>
      <c r="L199" s="10" t="s">
        <v>117</v>
      </c>
      <c r="M199" s="10" t="s">
        <v>47</v>
      </c>
      <c r="N199" s="10" t="s">
        <v>117</v>
      </c>
      <c r="O199" s="6" t="s">
        <v>8</v>
      </c>
      <c r="P199" s="6">
        <v>2</v>
      </c>
      <c r="Q199" s="6" t="s">
        <v>12</v>
      </c>
      <c r="R199" s="44" t="s">
        <v>702</v>
      </c>
    </row>
    <row r="200" spans="1:18" x14ac:dyDescent="0.25">
      <c r="A200" s="6" t="s">
        <v>23</v>
      </c>
      <c r="B200" s="6">
        <v>12343848</v>
      </c>
      <c r="C200" s="6" t="s">
        <v>9</v>
      </c>
      <c r="D200" s="7" t="s">
        <v>853</v>
      </c>
      <c r="E200" s="8">
        <v>44654</v>
      </c>
      <c r="F200" s="9">
        <v>44659</v>
      </c>
      <c r="G200" s="9">
        <v>44655</v>
      </c>
      <c r="H200" s="3">
        <v>1</v>
      </c>
      <c r="I200" s="7" t="s">
        <v>818</v>
      </c>
      <c r="J200" s="7" t="s">
        <v>73</v>
      </c>
      <c r="K200" s="25" t="s">
        <v>117</v>
      </c>
      <c r="L200" s="10" t="s">
        <v>117</v>
      </c>
      <c r="M200" s="10" t="s">
        <v>50</v>
      </c>
      <c r="N200" s="10" t="s">
        <v>117</v>
      </c>
      <c r="O200" s="6" t="s">
        <v>8</v>
      </c>
      <c r="P200" s="6">
        <v>6</v>
      </c>
      <c r="Q200" s="6" t="s">
        <v>19</v>
      </c>
      <c r="R200" s="44" t="s">
        <v>703</v>
      </c>
    </row>
    <row r="201" spans="1:18" x14ac:dyDescent="0.25">
      <c r="A201" s="6" t="s">
        <v>17</v>
      </c>
      <c r="B201" s="6">
        <v>12348086</v>
      </c>
      <c r="C201" s="6" t="s">
        <v>9</v>
      </c>
      <c r="D201" s="7" t="s">
        <v>854</v>
      </c>
      <c r="E201" s="8">
        <v>44654</v>
      </c>
      <c r="F201" s="9">
        <v>44659</v>
      </c>
      <c r="G201" s="9">
        <v>44655</v>
      </c>
      <c r="H201" s="3">
        <v>1</v>
      </c>
      <c r="I201" s="7" t="s">
        <v>818</v>
      </c>
      <c r="J201" s="7" t="s">
        <v>73</v>
      </c>
      <c r="K201" s="25" t="s">
        <v>117</v>
      </c>
      <c r="L201" s="10" t="s">
        <v>117</v>
      </c>
      <c r="M201" s="10" t="s">
        <v>47</v>
      </c>
      <c r="N201" s="10" t="s">
        <v>117</v>
      </c>
      <c r="O201" s="6" t="s">
        <v>8</v>
      </c>
      <c r="P201" s="6">
        <v>2</v>
      </c>
      <c r="Q201" s="6" t="s">
        <v>12</v>
      </c>
      <c r="R201" s="44" t="s">
        <v>704</v>
      </c>
    </row>
    <row r="202" spans="1:18" x14ac:dyDescent="0.25">
      <c r="A202" s="6" t="s">
        <v>23</v>
      </c>
      <c r="B202" s="6">
        <v>12344235</v>
      </c>
      <c r="C202" s="6" t="s">
        <v>9</v>
      </c>
      <c r="D202" s="7" t="s">
        <v>855</v>
      </c>
      <c r="E202" s="8">
        <v>44654</v>
      </c>
      <c r="F202" s="9">
        <v>44659</v>
      </c>
      <c r="G202" s="9">
        <v>44655</v>
      </c>
      <c r="H202" s="3">
        <v>1</v>
      </c>
      <c r="I202" s="7" t="s">
        <v>818</v>
      </c>
      <c r="J202" s="7" t="s">
        <v>73</v>
      </c>
      <c r="K202" s="25" t="s">
        <v>117</v>
      </c>
      <c r="L202" s="10" t="s">
        <v>117</v>
      </c>
      <c r="M202" s="10" t="s">
        <v>50</v>
      </c>
      <c r="N202" s="10" t="s">
        <v>117</v>
      </c>
      <c r="O202" s="6" t="s">
        <v>8</v>
      </c>
      <c r="P202" s="6">
        <v>6</v>
      </c>
      <c r="Q202" s="6" t="s">
        <v>19</v>
      </c>
      <c r="R202" s="44" t="s">
        <v>705</v>
      </c>
    </row>
    <row r="203" spans="1:18" x14ac:dyDescent="0.25">
      <c r="A203" s="6" t="s">
        <v>76</v>
      </c>
      <c r="B203" s="6">
        <v>12348215</v>
      </c>
      <c r="C203" s="6" t="s">
        <v>9</v>
      </c>
      <c r="D203" s="7" t="s">
        <v>856</v>
      </c>
      <c r="E203" s="8">
        <v>44654</v>
      </c>
      <c r="F203" s="9">
        <v>44659</v>
      </c>
      <c r="G203" s="9">
        <v>44655</v>
      </c>
      <c r="H203" s="3">
        <v>1</v>
      </c>
      <c r="I203" s="7" t="s">
        <v>818</v>
      </c>
      <c r="J203" s="7" t="s">
        <v>73</v>
      </c>
      <c r="K203" s="25" t="s">
        <v>117</v>
      </c>
      <c r="L203" s="10" t="s">
        <v>117</v>
      </c>
      <c r="M203" s="10" t="s">
        <v>47</v>
      </c>
      <c r="N203" s="10" t="s">
        <v>117</v>
      </c>
      <c r="O203" s="6" t="s">
        <v>8</v>
      </c>
      <c r="P203" s="6">
        <v>2</v>
      </c>
      <c r="Q203" s="6" t="s">
        <v>12</v>
      </c>
      <c r="R203" s="44" t="s">
        <v>706</v>
      </c>
    </row>
    <row r="204" spans="1:18" x14ac:dyDescent="0.25">
      <c r="A204" s="6" t="s">
        <v>15</v>
      </c>
      <c r="B204" s="6">
        <v>12348248</v>
      </c>
      <c r="C204" s="6" t="s">
        <v>9</v>
      </c>
      <c r="D204" s="7" t="s">
        <v>857</v>
      </c>
      <c r="E204" s="8">
        <v>44654</v>
      </c>
      <c r="F204" s="9">
        <v>44659</v>
      </c>
      <c r="G204" s="9">
        <v>44655</v>
      </c>
      <c r="H204" s="3">
        <v>1</v>
      </c>
      <c r="I204" s="7" t="s">
        <v>818</v>
      </c>
      <c r="J204" s="7" t="s">
        <v>73</v>
      </c>
      <c r="K204" s="25" t="s">
        <v>117</v>
      </c>
      <c r="L204" s="10" t="s">
        <v>117</v>
      </c>
      <c r="M204" s="10" t="s">
        <v>47</v>
      </c>
      <c r="N204" s="10" t="s">
        <v>117</v>
      </c>
      <c r="O204" s="6" t="s">
        <v>8</v>
      </c>
      <c r="P204" s="6">
        <v>2</v>
      </c>
      <c r="Q204" s="6" t="s">
        <v>12</v>
      </c>
      <c r="R204" s="44" t="s">
        <v>707</v>
      </c>
    </row>
    <row r="205" spans="1:18" x14ac:dyDescent="0.25">
      <c r="A205" s="6" t="s">
        <v>17</v>
      </c>
      <c r="B205" s="6">
        <v>12348305</v>
      </c>
      <c r="C205" s="6" t="s">
        <v>9</v>
      </c>
      <c r="D205" s="7" t="s">
        <v>858</v>
      </c>
      <c r="E205" s="8">
        <v>44654</v>
      </c>
      <c r="F205" s="9">
        <v>44659</v>
      </c>
      <c r="G205" s="9">
        <v>44655</v>
      </c>
      <c r="H205" s="3">
        <v>1</v>
      </c>
      <c r="I205" s="7" t="s">
        <v>818</v>
      </c>
      <c r="J205" s="7" t="s">
        <v>73</v>
      </c>
      <c r="K205" s="25" t="s">
        <v>117</v>
      </c>
      <c r="L205" s="10" t="s">
        <v>117</v>
      </c>
      <c r="M205" s="10" t="s">
        <v>47</v>
      </c>
      <c r="N205" s="10" t="s">
        <v>117</v>
      </c>
      <c r="O205" s="6" t="s">
        <v>8</v>
      </c>
      <c r="P205" s="6">
        <v>2</v>
      </c>
      <c r="Q205" s="6" t="s">
        <v>12</v>
      </c>
      <c r="R205" s="44" t="s">
        <v>708</v>
      </c>
    </row>
    <row r="206" spans="1:18" x14ac:dyDescent="0.25">
      <c r="A206" s="5" t="s">
        <v>76</v>
      </c>
      <c r="B206" s="5">
        <v>12348877</v>
      </c>
      <c r="C206" s="5" t="s">
        <v>9</v>
      </c>
      <c r="D206" s="7" t="s">
        <v>859</v>
      </c>
      <c r="E206" s="8">
        <v>44654</v>
      </c>
      <c r="F206" s="9">
        <v>44659</v>
      </c>
      <c r="G206" s="9">
        <v>44655</v>
      </c>
      <c r="H206" s="3">
        <v>1</v>
      </c>
      <c r="I206" s="7" t="s">
        <v>818</v>
      </c>
      <c r="J206" s="7" t="s">
        <v>73</v>
      </c>
      <c r="K206" s="25" t="s">
        <v>117</v>
      </c>
      <c r="L206" s="10" t="s">
        <v>117</v>
      </c>
      <c r="M206" s="10" t="s">
        <v>47</v>
      </c>
      <c r="N206" s="10" t="s">
        <v>117</v>
      </c>
      <c r="O206" s="5" t="s">
        <v>8</v>
      </c>
      <c r="P206" s="5">
        <v>2</v>
      </c>
      <c r="Q206" s="5" t="s">
        <v>12</v>
      </c>
      <c r="R206" s="43" t="s">
        <v>709</v>
      </c>
    </row>
    <row r="207" spans="1:18" x14ac:dyDescent="0.25">
      <c r="A207" s="6" t="s">
        <v>15</v>
      </c>
      <c r="B207" s="6">
        <v>12349005</v>
      </c>
      <c r="C207" s="6" t="s">
        <v>9</v>
      </c>
      <c r="D207" s="7" t="s">
        <v>860</v>
      </c>
      <c r="E207" s="8">
        <v>44654</v>
      </c>
      <c r="F207" s="9">
        <v>44659</v>
      </c>
      <c r="G207" s="9">
        <v>44655</v>
      </c>
      <c r="H207" s="3">
        <v>1</v>
      </c>
      <c r="I207" s="7" t="s">
        <v>818</v>
      </c>
      <c r="J207" s="7" t="s">
        <v>73</v>
      </c>
      <c r="K207" s="25" t="s">
        <v>117</v>
      </c>
      <c r="L207" s="10" t="s">
        <v>117</v>
      </c>
      <c r="M207" s="10" t="s">
        <v>47</v>
      </c>
      <c r="N207" s="10" t="s">
        <v>117</v>
      </c>
      <c r="O207" s="6" t="s">
        <v>8</v>
      </c>
      <c r="P207" s="6">
        <v>2</v>
      </c>
      <c r="Q207" s="6" t="s">
        <v>12</v>
      </c>
      <c r="R207" s="44" t="s">
        <v>710</v>
      </c>
    </row>
    <row r="208" spans="1:18" x14ac:dyDescent="0.25">
      <c r="A208" s="6" t="s">
        <v>17</v>
      </c>
      <c r="B208" s="6">
        <v>12349065</v>
      </c>
      <c r="C208" s="6" t="s">
        <v>9</v>
      </c>
      <c r="D208" s="7" t="s">
        <v>861</v>
      </c>
      <c r="E208" s="8">
        <v>44654</v>
      </c>
      <c r="F208" s="9">
        <v>44659</v>
      </c>
      <c r="G208" s="9">
        <v>44655</v>
      </c>
      <c r="H208" s="3">
        <v>1</v>
      </c>
      <c r="I208" s="7" t="s">
        <v>818</v>
      </c>
      <c r="J208" s="7" t="s">
        <v>73</v>
      </c>
      <c r="K208" s="25" t="s">
        <v>117</v>
      </c>
      <c r="L208" s="10" t="s">
        <v>117</v>
      </c>
      <c r="M208" s="10" t="s">
        <v>47</v>
      </c>
      <c r="N208" s="10" t="s">
        <v>117</v>
      </c>
      <c r="O208" s="6" t="s">
        <v>8</v>
      </c>
      <c r="P208" s="6">
        <v>2</v>
      </c>
      <c r="Q208" s="6" t="s">
        <v>12</v>
      </c>
      <c r="R208" s="44" t="s">
        <v>711</v>
      </c>
    </row>
    <row r="209" spans="1:18" x14ac:dyDescent="0.25">
      <c r="A209" s="6" t="s">
        <v>76</v>
      </c>
      <c r="B209" s="6">
        <v>12349267</v>
      </c>
      <c r="C209" s="6" t="s">
        <v>9</v>
      </c>
      <c r="D209" s="7" t="s">
        <v>862</v>
      </c>
      <c r="E209" s="8">
        <v>44654</v>
      </c>
      <c r="F209" s="9">
        <v>44659</v>
      </c>
      <c r="G209" s="9">
        <v>44655</v>
      </c>
      <c r="H209" s="3">
        <v>1</v>
      </c>
      <c r="I209" s="7" t="s">
        <v>818</v>
      </c>
      <c r="J209" s="7" t="s">
        <v>73</v>
      </c>
      <c r="K209" s="25" t="s">
        <v>117</v>
      </c>
      <c r="L209" s="10" t="s">
        <v>117</v>
      </c>
      <c r="M209" s="10" t="s">
        <v>47</v>
      </c>
      <c r="N209" s="10" t="s">
        <v>117</v>
      </c>
      <c r="O209" s="6" t="s">
        <v>8</v>
      </c>
      <c r="P209" s="6">
        <v>2</v>
      </c>
      <c r="Q209" s="6" t="s">
        <v>12</v>
      </c>
      <c r="R209" s="44" t="s">
        <v>712</v>
      </c>
    </row>
    <row r="210" spans="1:18" x14ac:dyDescent="0.25">
      <c r="A210" s="6" t="s">
        <v>15</v>
      </c>
      <c r="B210" s="6">
        <v>12349288</v>
      </c>
      <c r="C210" s="6" t="s">
        <v>9</v>
      </c>
      <c r="D210" s="7" t="s">
        <v>863</v>
      </c>
      <c r="E210" s="8">
        <v>44654</v>
      </c>
      <c r="F210" s="9">
        <v>44659</v>
      </c>
      <c r="G210" s="9">
        <v>44655</v>
      </c>
      <c r="H210" s="3">
        <v>1</v>
      </c>
      <c r="I210" s="7" t="s">
        <v>818</v>
      </c>
      <c r="J210" s="7" t="s">
        <v>73</v>
      </c>
      <c r="K210" s="25" t="s">
        <v>117</v>
      </c>
      <c r="L210" s="10" t="s">
        <v>117</v>
      </c>
      <c r="M210" s="10" t="s">
        <v>47</v>
      </c>
      <c r="N210" s="10" t="s">
        <v>117</v>
      </c>
      <c r="O210" s="6" t="s">
        <v>8</v>
      </c>
      <c r="P210" s="6">
        <v>2</v>
      </c>
      <c r="Q210" s="6" t="s">
        <v>12</v>
      </c>
      <c r="R210" s="44" t="s">
        <v>713</v>
      </c>
    </row>
    <row r="211" spans="1:18" x14ac:dyDescent="0.25">
      <c r="A211" s="6" t="s">
        <v>17</v>
      </c>
      <c r="B211" s="6">
        <v>12349296</v>
      </c>
      <c r="C211" s="6" t="s">
        <v>9</v>
      </c>
      <c r="D211" s="7" t="s">
        <v>864</v>
      </c>
      <c r="E211" s="8">
        <v>44654</v>
      </c>
      <c r="F211" s="9">
        <v>44659</v>
      </c>
      <c r="G211" s="9">
        <v>44655</v>
      </c>
      <c r="H211" s="3">
        <v>1</v>
      </c>
      <c r="I211" s="7" t="s">
        <v>818</v>
      </c>
      <c r="J211" s="7" t="s">
        <v>73</v>
      </c>
      <c r="K211" s="25" t="s">
        <v>117</v>
      </c>
      <c r="L211" s="10" t="s">
        <v>117</v>
      </c>
      <c r="M211" s="10" t="s">
        <v>47</v>
      </c>
      <c r="N211" s="10" t="s">
        <v>117</v>
      </c>
      <c r="O211" s="6" t="s">
        <v>8</v>
      </c>
      <c r="P211" s="6">
        <v>2</v>
      </c>
      <c r="Q211" s="6" t="s">
        <v>12</v>
      </c>
      <c r="R211" s="44" t="s">
        <v>714</v>
      </c>
    </row>
    <row r="212" spans="1:18" x14ac:dyDescent="0.25">
      <c r="A212" s="6" t="s">
        <v>76</v>
      </c>
      <c r="B212" s="6">
        <v>12349323</v>
      </c>
      <c r="C212" s="6" t="s">
        <v>9</v>
      </c>
      <c r="D212" s="7" t="s">
        <v>865</v>
      </c>
      <c r="E212" s="8">
        <v>44654</v>
      </c>
      <c r="F212" s="9">
        <v>44659</v>
      </c>
      <c r="G212" s="9">
        <v>44655</v>
      </c>
      <c r="H212" s="3">
        <v>1</v>
      </c>
      <c r="I212" s="7" t="s">
        <v>818</v>
      </c>
      <c r="J212" s="7" t="s">
        <v>73</v>
      </c>
      <c r="K212" s="25" t="s">
        <v>117</v>
      </c>
      <c r="L212" s="10" t="s">
        <v>117</v>
      </c>
      <c r="M212" s="10" t="s">
        <v>47</v>
      </c>
      <c r="N212" s="10" t="s">
        <v>117</v>
      </c>
      <c r="O212" s="6" t="s">
        <v>8</v>
      </c>
      <c r="P212" s="6">
        <v>2</v>
      </c>
      <c r="Q212" s="6" t="s">
        <v>12</v>
      </c>
      <c r="R212" s="44" t="s">
        <v>715</v>
      </c>
    </row>
    <row r="213" spans="1:18" x14ac:dyDescent="0.25">
      <c r="A213" s="6" t="s">
        <v>15</v>
      </c>
      <c r="B213" s="6">
        <v>12350494</v>
      </c>
      <c r="C213" s="6" t="s">
        <v>9</v>
      </c>
      <c r="D213" s="7" t="s">
        <v>866</v>
      </c>
      <c r="E213" s="8">
        <v>44654</v>
      </c>
      <c r="F213" s="9">
        <v>44659</v>
      </c>
      <c r="G213" s="9">
        <v>44655</v>
      </c>
      <c r="H213" s="3">
        <v>1</v>
      </c>
      <c r="I213" s="7" t="s">
        <v>818</v>
      </c>
      <c r="J213" s="7" t="s">
        <v>73</v>
      </c>
      <c r="K213" s="25" t="s">
        <v>117</v>
      </c>
      <c r="L213" s="10" t="s">
        <v>117</v>
      </c>
      <c r="M213" s="10" t="s">
        <v>47</v>
      </c>
      <c r="N213" s="10" t="s">
        <v>117</v>
      </c>
      <c r="O213" s="6" t="s">
        <v>8</v>
      </c>
      <c r="P213" s="6">
        <v>2</v>
      </c>
      <c r="Q213" s="6" t="s">
        <v>12</v>
      </c>
      <c r="R213" s="44" t="s">
        <v>716</v>
      </c>
    </row>
    <row r="214" spans="1:18" x14ac:dyDescent="0.25">
      <c r="A214" s="5" t="s">
        <v>17</v>
      </c>
      <c r="B214" s="5">
        <v>12350729</v>
      </c>
      <c r="C214" s="5" t="s">
        <v>9</v>
      </c>
      <c r="D214" s="7" t="s">
        <v>867</v>
      </c>
      <c r="E214" s="8">
        <v>44654</v>
      </c>
      <c r="F214" s="9">
        <v>44659</v>
      </c>
      <c r="G214" s="9">
        <v>44655</v>
      </c>
      <c r="H214" s="3">
        <v>1</v>
      </c>
      <c r="I214" s="7" t="s">
        <v>818</v>
      </c>
      <c r="J214" s="7" t="s">
        <v>73</v>
      </c>
      <c r="K214" s="25" t="s">
        <v>117</v>
      </c>
      <c r="L214" s="10" t="s">
        <v>117</v>
      </c>
      <c r="M214" s="10" t="s">
        <v>47</v>
      </c>
      <c r="N214" s="10" t="s">
        <v>117</v>
      </c>
      <c r="O214" s="5" t="s">
        <v>8</v>
      </c>
      <c r="P214" s="5">
        <v>2</v>
      </c>
      <c r="Q214" s="5" t="s">
        <v>12</v>
      </c>
      <c r="R214" s="43" t="s">
        <v>717</v>
      </c>
    </row>
    <row r="215" spans="1:18" x14ac:dyDescent="0.25">
      <c r="A215" s="5" t="s">
        <v>76</v>
      </c>
      <c r="B215" s="5">
        <v>12351408</v>
      </c>
      <c r="C215" s="5" t="s">
        <v>9</v>
      </c>
      <c r="D215" s="7" t="s">
        <v>868</v>
      </c>
      <c r="E215" s="8">
        <v>44654</v>
      </c>
      <c r="F215" s="9">
        <v>44659</v>
      </c>
      <c r="G215" s="9">
        <v>44655</v>
      </c>
      <c r="H215" s="3">
        <v>1</v>
      </c>
      <c r="I215" s="7" t="s">
        <v>818</v>
      </c>
      <c r="J215" s="7" t="s">
        <v>73</v>
      </c>
      <c r="K215" s="25" t="s">
        <v>117</v>
      </c>
      <c r="L215" s="10" t="s">
        <v>117</v>
      </c>
      <c r="M215" s="10" t="s">
        <v>47</v>
      </c>
      <c r="N215" s="10" t="s">
        <v>117</v>
      </c>
      <c r="O215" s="5" t="s">
        <v>8</v>
      </c>
      <c r="P215" s="5">
        <v>2</v>
      </c>
      <c r="Q215" s="5" t="s">
        <v>12</v>
      </c>
      <c r="R215" s="43" t="s">
        <v>718</v>
      </c>
    </row>
    <row r="216" spans="1:18" x14ac:dyDescent="0.25">
      <c r="A216" s="6" t="s">
        <v>15</v>
      </c>
      <c r="B216" s="6">
        <v>12352605</v>
      </c>
      <c r="C216" s="6" t="s">
        <v>9</v>
      </c>
      <c r="D216" s="7" t="s">
        <v>869</v>
      </c>
      <c r="E216" s="8">
        <v>44654</v>
      </c>
      <c r="F216" s="9">
        <v>44659</v>
      </c>
      <c r="G216" s="9">
        <v>44655</v>
      </c>
      <c r="H216" s="3">
        <v>1</v>
      </c>
      <c r="I216" s="7" t="s">
        <v>818</v>
      </c>
      <c r="J216" s="7" t="s">
        <v>73</v>
      </c>
      <c r="K216" s="25" t="s">
        <v>117</v>
      </c>
      <c r="L216" s="10" t="s">
        <v>117</v>
      </c>
      <c r="M216" s="10" t="s">
        <v>47</v>
      </c>
      <c r="N216" s="10" t="s">
        <v>117</v>
      </c>
      <c r="O216" s="6" t="s">
        <v>8</v>
      </c>
      <c r="P216" s="6">
        <v>2</v>
      </c>
      <c r="Q216" s="6" t="s">
        <v>12</v>
      </c>
      <c r="R216" s="44" t="s">
        <v>719</v>
      </c>
    </row>
    <row r="217" spans="1:18" x14ac:dyDescent="0.25">
      <c r="A217" s="6" t="s">
        <v>17</v>
      </c>
      <c r="B217" s="6">
        <v>12352722</v>
      </c>
      <c r="C217" s="6" t="s">
        <v>9</v>
      </c>
      <c r="D217" s="7" t="s">
        <v>870</v>
      </c>
      <c r="E217" s="8">
        <v>44654</v>
      </c>
      <c r="F217" s="9">
        <v>44659</v>
      </c>
      <c r="G217" s="9">
        <v>44655</v>
      </c>
      <c r="H217" s="3">
        <v>1</v>
      </c>
      <c r="I217" s="7" t="s">
        <v>818</v>
      </c>
      <c r="J217" s="7" t="s">
        <v>73</v>
      </c>
      <c r="K217" s="25" t="s">
        <v>117</v>
      </c>
      <c r="L217" s="10" t="s">
        <v>117</v>
      </c>
      <c r="M217" s="10" t="s">
        <v>47</v>
      </c>
      <c r="N217" s="10" t="s">
        <v>117</v>
      </c>
      <c r="O217" s="6" t="s">
        <v>8</v>
      </c>
      <c r="P217" s="6">
        <v>2</v>
      </c>
      <c r="Q217" s="6" t="s">
        <v>12</v>
      </c>
      <c r="R217" s="44" t="s">
        <v>720</v>
      </c>
    </row>
    <row r="218" spans="1:18" x14ac:dyDescent="0.25">
      <c r="A218" s="6" t="s">
        <v>76</v>
      </c>
      <c r="B218" s="6">
        <v>12352828</v>
      </c>
      <c r="C218" s="6" t="s">
        <v>9</v>
      </c>
      <c r="D218" s="7" t="s">
        <v>871</v>
      </c>
      <c r="E218" s="8">
        <v>44654</v>
      </c>
      <c r="F218" s="9">
        <v>44659</v>
      </c>
      <c r="G218" s="9">
        <v>44655</v>
      </c>
      <c r="H218" s="3">
        <v>1</v>
      </c>
      <c r="I218" s="7" t="s">
        <v>818</v>
      </c>
      <c r="J218" s="7" t="s">
        <v>73</v>
      </c>
      <c r="K218" s="25" t="s">
        <v>117</v>
      </c>
      <c r="L218" s="10" t="s">
        <v>117</v>
      </c>
      <c r="M218" s="10" t="s">
        <v>47</v>
      </c>
      <c r="N218" s="10" t="s">
        <v>117</v>
      </c>
      <c r="O218" s="6" t="s">
        <v>8</v>
      </c>
      <c r="P218" s="6">
        <v>2</v>
      </c>
      <c r="Q218" s="6" t="s">
        <v>12</v>
      </c>
      <c r="R218" s="44" t="s">
        <v>721</v>
      </c>
    </row>
    <row r="219" spans="1:18" x14ac:dyDescent="0.25">
      <c r="A219" s="6" t="s">
        <v>15</v>
      </c>
      <c r="B219" s="6">
        <v>12352850</v>
      </c>
      <c r="C219" s="6" t="s">
        <v>9</v>
      </c>
      <c r="D219" s="7" t="s">
        <v>872</v>
      </c>
      <c r="E219" s="8">
        <v>44654</v>
      </c>
      <c r="F219" s="9">
        <v>44659</v>
      </c>
      <c r="G219" s="9">
        <v>44655</v>
      </c>
      <c r="H219" s="3">
        <v>1</v>
      </c>
      <c r="I219" s="7" t="s">
        <v>818</v>
      </c>
      <c r="J219" s="7" t="s">
        <v>73</v>
      </c>
      <c r="K219" s="25" t="s">
        <v>117</v>
      </c>
      <c r="L219" s="10" t="s">
        <v>117</v>
      </c>
      <c r="M219" s="10" t="s">
        <v>47</v>
      </c>
      <c r="N219" s="10" t="s">
        <v>117</v>
      </c>
      <c r="O219" s="6" t="s">
        <v>8</v>
      </c>
      <c r="P219" s="6">
        <v>2</v>
      </c>
      <c r="Q219" s="6" t="s">
        <v>12</v>
      </c>
      <c r="R219" s="44" t="s">
        <v>722</v>
      </c>
    </row>
    <row r="220" spans="1:18" x14ac:dyDescent="0.25">
      <c r="A220" s="6" t="s">
        <v>17</v>
      </c>
      <c r="B220" s="6">
        <v>12352901</v>
      </c>
      <c r="C220" s="6" t="s">
        <v>9</v>
      </c>
      <c r="D220" s="7" t="s">
        <v>873</v>
      </c>
      <c r="E220" s="8">
        <v>44654</v>
      </c>
      <c r="F220" s="9">
        <v>44659</v>
      </c>
      <c r="G220" s="9">
        <v>44655</v>
      </c>
      <c r="H220" s="3">
        <v>1</v>
      </c>
      <c r="I220" s="7" t="s">
        <v>818</v>
      </c>
      <c r="J220" s="7" t="s">
        <v>73</v>
      </c>
      <c r="K220" s="25" t="s">
        <v>117</v>
      </c>
      <c r="L220" s="10" t="s">
        <v>117</v>
      </c>
      <c r="M220" s="10" t="s">
        <v>47</v>
      </c>
      <c r="N220" s="10" t="s">
        <v>117</v>
      </c>
      <c r="O220" s="6" t="s">
        <v>8</v>
      </c>
      <c r="P220" s="6">
        <v>2</v>
      </c>
      <c r="Q220" s="6" t="s">
        <v>12</v>
      </c>
      <c r="R220" s="44" t="s">
        <v>723</v>
      </c>
    </row>
    <row r="221" spans="1:18" x14ac:dyDescent="0.25">
      <c r="A221" s="6" t="s">
        <v>76</v>
      </c>
      <c r="B221" s="6">
        <v>12353285</v>
      </c>
      <c r="C221" s="6" t="s">
        <v>9</v>
      </c>
      <c r="D221" s="7" t="s">
        <v>874</v>
      </c>
      <c r="E221" s="8">
        <v>44654</v>
      </c>
      <c r="F221" s="9">
        <v>44659</v>
      </c>
      <c r="G221" s="9">
        <v>44655</v>
      </c>
      <c r="H221" s="3">
        <v>1</v>
      </c>
      <c r="I221" s="7" t="s">
        <v>818</v>
      </c>
      <c r="J221" s="7" t="s">
        <v>73</v>
      </c>
      <c r="K221" s="25" t="s">
        <v>117</v>
      </c>
      <c r="L221" s="10" t="s">
        <v>117</v>
      </c>
      <c r="M221" s="10" t="s">
        <v>47</v>
      </c>
      <c r="N221" s="10" t="s">
        <v>117</v>
      </c>
      <c r="O221" s="6" t="s">
        <v>8</v>
      </c>
      <c r="P221" s="6">
        <v>2</v>
      </c>
      <c r="Q221" s="6" t="s">
        <v>12</v>
      </c>
      <c r="R221" s="44" t="s">
        <v>724</v>
      </c>
    </row>
    <row r="222" spans="1:18" x14ac:dyDescent="0.25">
      <c r="A222" s="6" t="s">
        <v>15</v>
      </c>
      <c r="B222" s="6">
        <v>12353337</v>
      </c>
      <c r="C222" s="6" t="s">
        <v>9</v>
      </c>
      <c r="D222" s="7" t="s">
        <v>875</v>
      </c>
      <c r="E222" s="8">
        <v>44654</v>
      </c>
      <c r="F222" s="9">
        <v>44659</v>
      </c>
      <c r="G222" s="9">
        <v>44655</v>
      </c>
      <c r="H222" s="3">
        <v>1</v>
      </c>
      <c r="I222" s="7" t="s">
        <v>818</v>
      </c>
      <c r="J222" s="7" t="s">
        <v>73</v>
      </c>
      <c r="K222" s="25" t="s">
        <v>117</v>
      </c>
      <c r="L222" s="10" t="s">
        <v>117</v>
      </c>
      <c r="M222" s="10" t="s">
        <v>47</v>
      </c>
      <c r="N222" s="10" t="s">
        <v>117</v>
      </c>
      <c r="O222" s="6" t="s">
        <v>8</v>
      </c>
      <c r="P222" s="6">
        <v>2</v>
      </c>
      <c r="Q222" s="6" t="s">
        <v>12</v>
      </c>
      <c r="R222" s="44" t="s">
        <v>725</v>
      </c>
    </row>
    <row r="223" spans="1:18" x14ac:dyDescent="0.25">
      <c r="A223" s="5" t="s">
        <v>17</v>
      </c>
      <c r="B223" s="5">
        <v>12353338</v>
      </c>
      <c r="C223" s="5" t="s">
        <v>9</v>
      </c>
      <c r="D223" s="7" t="s">
        <v>876</v>
      </c>
      <c r="E223" s="8">
        <v>44654</v>
      </c>
      <c r="F223" s="9">
        <v>44659</v>
      </c>
      <c r="G223" s="9">
        <v>44655</v>
      </c>
      <c r="H223" s="3">
        <v>1</v>
      </c>
      <c r="I223" s="7" t="s">
        <v>818</v>
      </c>
      <c r="J223" s="7" t="s">
        <v>73</v>
      </c>
      <c r="K223" s="25" t="s">
        <v>117</v>
      </c>
      <c r="L223" s="10" t="s">
        <v>117</v>
      </c>
      <c r="M223" s="10" t="s">
        <v>47</v>
      </c>
      <c r="N223" s="10" t="s">
        <v>117</v>
      </c>
      <c r="O223" s="5" t="s">
        <v>8</v>
      </c>
      <c r="P223" s="5">
        <v>2</v>
      </c>
      <c r="Q223" s="5" t="s">
        <v>12</v>
      </c>
      <c r="R223" s="43" t="s">
        <v>726</v>
      </c>
    </row>
    <row r="224" spans="1:18" x14ac:dyDescent="0.25">
      <c r="A224" s="6" t="s">
        <v>76</v>
      </c>
      <c r="B224" s="6">
        <v>12353342</v>
      </c>
      <c r="C224" s="6" t="s">
        <v>9</v>
      </c>
      <c r="D224" s="7" t="s">
        <v>877</v>
      </c>
      <c r="E224" s="8">
        <v>44654</v>
      </c>
      <c r="F224" s="9">
        <v>44659</v>
      </c>
      <c r="G224" s="9">
        <v>44655</v>
      </c>
      <c r="H224" s="3">
        <v>1</v>
      </c>
      <c r="I224" s="7" t="s">
        <v>818</v>
      </c>
      <c r="J224" s="7" t="s">
        <v>73</v>
      </c>
      <c r="K224" s="25" t="s">
        <v>117</v>
      </c>
      <c r="L224" s="10" t="s">
        <v>117</v>
      </c>
      <c r="M224" s="10" t="s">
        <v>47</v>
      </c>
      <c r="N224" s="10" t="s">
        <v>117</v>
      </c>
      <c r="O224" s="6" t="s">
        <v>8</v>
      </c>
      <c r="P224" s="6">
        <v>2</v>
      </c>
      <c r="Q224" s="6" t="s">
        <v>12</v>
      </c>
      <c r="R224" s="44" t="s">
        <v>727</v>
      </c>
    </row>
    <row r="225" spans="1:18" x14ac:dyDescent="0.25">
      <c r="A225" s="5" t="s">
        <v>15</v>
      </c>
      <c r="B225" s="5">
        <v>12353347</v>
      </c>
      <c r="C225" s="5" t="s">
        <v>9</v>
      </c>
      <c r="D225" s="7" t="s">
        <v>878</v>
      </c>
      <c r="E225" s="8">
        <v>44654</v>
      </c>
      <c r="F225" s="9">
        <v>44659</v>
      </c>
      <c r="G225" s="9">
        <v>44655</v>
      </c>
      <c r="H225" s="3">
        <v>1</v>
      </c>
      <c r="I225" s="7" t="s">
        <v>818</v>
      </c>
      <c r="J225" s="7" t="s">
        <v>73</v>
      </c>
      <c r="K225" s="25" t="s">
        <v>117</v>
      </c>
      <c r="L225" s="10" t="s">
        <v>117</v>
      </c>
      <c r="M225" s="10" t="s">
        <v>47</v>
      </c>
      <c r="N225" s="10" t="s">
        <v>117</v>
      </c>
      <c r="O225" s="5" t="s">
        <v>8</v>
      </c>
      <c r="P225" s="5">
        <v>2</v>
      </c>
      <c r="Q225" s="5" t="s">
        <v>12</v>
      </c>
      <c r="R225" s="43" t="s">
        <v>728</v>
      </c>
    </row>
    <row r="226" spans="1:18" x14ac:dyDescent="0.25">
      <c r="A226" s="6" t="s">
        <v>17</v>
      </c>
      <c r="B226" s="6">
        <v>12353352</v>
      </c>
      <c r="C226" s="6" t="s">
        <v>9</v>
      </c>
      <c r="D226" s="7" t="s">
        <v>879</v>
      </c>
      <c r="E226" s="8">
        <v>44654</v>
      </c>
      <c r="F226" s="9">
        <v>44659</v>
      </c>
      <c r="G226" s="9">
        <v>44655</v>
      </c>
      <c r="H226" s="3">
        <v>1</v>
      </c>
      <c r="I226" s="7" t="s">
        <v>818</v>
      </c>
      <c r="J226" s="7" t="s">
        <v>73</v>
      </c>
      <c r="K226" s="25" t="s">
        <v>117</v>
      </c>
      <c r="L226" s="10" t="s">
        <v>117</v>
      </c>
      <c r="M226" s="10" t="s">
        <v>47</v>
      </c>
      <c r="N226" s="10" t="s">
        <v>117</v>
      </c>
      <c r="O226" s="6" t="s">
        <v>8</v>
      </c>
      <c r="P226" s="6">
        <v>2</v>
      </c>
      <c r="Q226" s="6" t="s">
        <v>12</v>
      </c>
      <c r="R226" s="44" t="s">
        <v>729</v>
      </c>
    </row>
    <row r="227" spans="1:18" x14ac:dyDescent="0.25">
      <c r="A227" s="6" t="s">
        <v>76</v>
      </c>
      <c r="B227" s="6">
        <v>12353638</v>
      </c>
      <c r="C227" s="6" t="s">
        <v>9</v>
      </c>
      <c r="D227" s="7" t="s">
        <v>880</v>
      </c>
      <c r="E227" s="8">
        <v>44654</v>
      </c>
      <c r="F227" s="9">
        <v>44659</v>
      </c>
      <c r="G227" s="9">
        <v>44655</v>
      </c>
      <c r="H227" s="3">
        <v>1</v>
      </c>
      <c r="I227" s="7" t="s">
        <v>818</v>
      </c>
      <c r="J227" s="7" t="s">
        <v>73</v>
      </c>
      <c r="K227" s="25" t="s">
        <v>117</v>
      </c>
      <c r="L227" s="10" t="s">
        <v>117</v>
      </c>
      <c r="M227" s="10" t="s">
        <v>47</v>
      </c>
      <c r="N227" s="10" t="s">
        <v>117</v>
      </c>
      <c r="O227" s="6" t="s">
        <v>8</v>
      </c>
      <c r="P227" s="6">
        <v>2</v>
      </c>
      <c r="Q227" s="6" t="s">
        <v>12</v>
      </c>
      <c r="R227" s="44" t="s">
        <v>730</v>
      </c>
    </row>
    <row r="228" spans="1:18" x14ac:dyDescent="0.25">
      <c r="A228" s="6" t="s">
        <v>15</v>
      </c>
      <c r="B228" s="6">
        <v>12353801</v>
      </c>
      <c r="C228" s="6" t="s">
        <v>9</v>
      </c>
      <c r="D228" s="7" t="s">
        <v>881</v>
      </c>
      <c r="E228" s="8">
        <v>44654</v>
      </c>
      <c r="F228" s="9">
        <v>44659</v>
      </c>
      <c r="G228" s="9">
        <v>44655</v>
      </c>
      <c r="H228" s="3">
        <v>1</v>
      </c>
      <c r="I228" s="7" t="s">
        <v>818</v>
      </c>
      <c r="J228" s="7" t="s">
        <v>73</v>
      </c>
      <c r="K228" s="25" t="s">
        <v>117</v>
      </c>
      <c r="L228" s="10" t="s">
        <v>117</v>
      </c>
      <c r="M228" s="10" t="s">
        <v>47</v>
      </c>
      <c r="N228" s="10" t="s">
        <v>117</v>
      </c>
      <c r="O228" s="6" t="s">
        <v>8</v>
      </c>
      <c r="P228" s="6">
        <v>2</v>
      </c>
      <c r="Q228" s="6" t="s">
        <v>12</v>
      </c>
      <c r="R228" s="44" t="s">
        <v>731</v>
      </c>
    </row>
    <row r="229" spans="1:18" x14ac:dyDescent="0.25">
      <c r="A229" s="5" t="s">
        <v>17</v>
      </c>
      <c r="B229" s="5">
        <v>12353926</v>
      </c>
      <c r="C229" s="5" t="s">
        <v>9</v>
      </c>
      <c r="D229" s="7" t="s">
        <v>882</v>
      </c>
      <c r="E229" s="8">
        <v>44654</v>
      </c>
      <c r="F229" s="9">
        <v>44659</v>
      </c>
      <c r="G229" s="9">
        <v>44655</v>
      </c>
      <c r="H229" s="3">
        <v>1</v>
      </c>
      <c r="I229" s="7" t="s">
        <v>818</v>
      </c>
      <c r="J229" s="7" t="s">
        <v>73</v>
      </c>
      <c r="K229" s="25" t="s">
        <v>117</v>
      </c>
      <c r="L229" s="10" t="s">
        <v>117</v>
      </c>
      <c r="M229" s="10" t="s">
        <v>47</v>
      </c>
      <c r="N229" s="10" t="s">
        <v>117</v>
      </c>
      <c r="O229" s="5" t="s">
        <v>8</v>
      </c>
      <c r="P229" s="5">
        <v>2</v>
      </c>
      <c r="Q229" s="5" t="s">
        <v>12</v>
      </c>
      <c r="R229" s="43" t="s">
        <v>732</v>
      </c>
    </row>
    <row r="230" spans="1:18" x14ac:dyDescent="0.25">
      <c r="A230" s="6" t="s">
        <v>21</v>
      </c>
      <c r="B230" s="6">
        <v>12345018</v>
      </c>
      <c r="C230" s="6" t="s">
        <v>14</v>
      </c>
      <c r="D230" s="7" t="s">
        <v>883</v>
      </c>
      <c r="E230" s="8">
        <v>44654</v>
      </c>
      <c r="F230" s="9">
        <v>44659</v>
      </c>
      <c r="G230" s="9">
        <v>44655</v>
      </c>
      <c r="H230" s="3">
        <v>1</v>
      </c>
      <c r="I230" s="7" t="s">
        <v>818</v>
      </c>
      <c r="J230" s="7" t="s">
        <v>73</v>
      </c>
      <c r="K230" s="25" t="s">
        <v>117</v>
      </c>
      <c r="L230" s="10" t="s">
        <v>117</v>
      </c>
      <c r="M230" s="10" t="s">
        <v>49</v>
      </c>
      <c r="N230" s="10" t="s">
        <v>117</v>
      </c>
      <c r="O230" s="6" t="s">
        <v>8</v>
      </c>
      <c r="P230" s="6">
        <v>7</v>
      </c>
      <c r="Q230" s="6" t="s">
        <v>20</v>
      </c>
      <c r="R230" s="44" t="s">
        <v>753</v>
      </c>
    </row>
    <row r="231" spans="1:18" x14ac:dyDescent="0.25">
      <c r="A231" s="6" t="s">
        <v>21</v>
      </c>
      <c r="B231" s="6">
        <v>12345753</v>
      </c>
      <c r="C231" s="6" t="s">
        <v>14</v>
      </c>
      <c r="D231" s="7" t="s">
        <v>884</v>
      </c>
      <c r="E231" s="8">
        <v>44654</v>
      </c>
      <c r="F231" s="9">
        <v>44659</v>
      </c>
      <c r="G231" s="9">
        <v>44655</v>
      </c>
      <c r="H231" s="3">
        <v>1</v>
      </c>
      <c r="I231" s="7" t="s">
        <v>818</v>
      </c>
      <c r="J231" s="7" t="s">
        <v>73</v>
      </c>
      <c r="K231" s="25" t="s">
        <v>117</v>
      </c>
      <c r="L231" s="10" t="s">
        <v>117</v>
      </c>
      <c r="M231" s="10" t="s">
        <v>49</v>
      </c>
      <c r="N231" s="10" t="s">
        <v>117</v>
      </c>
      <c r="O231" s="6" t="s">
        <v>8</v>
      </c>
      <c r="P231" s="6">
        <v>7</v>
      </c>
      <c r="Q231" s="6" t="s">
        <v>20</v>
      </c>
      <c r="R231" s="44" t="s">
        <v>756</v>
      </c>
    </row>
    <row r="232" spans="1:18" x14ac:dyDescent="0.25">
      <c r="A232" s="6" t="s">
        <v>21</v>
      </c>
      <c r="B232" s="6">
        <v>12344998</v>
      </c>
      <c r="C232" s="6" t="s">
        <v>14</v>
      </c>
      <c r="D232" s="7" t="s">
        <v>885</v>
      </c>
      <c r="E232" s="8">
        <v>44654</v>
      </c>
      <c r="F232" s="9">
        <v>44659</v>
      </c>
      <c r="G232" s="9">
        <v>44655</v>
      </c>
      <c r="H232" s="3">
        <v>1</v>
      </c>
      <c r="I232" s="7" t="s">
        <v>818</v>
      </c>
      <c r="J232" s="7" t="s">
        <v>73</v>
      </c>
      <c r="K232" s="25" t="s">
        <v>117</v>
      </c>
      <c r="L232" s="10" t="s">
        <v>117</v>
      </c>
      <c r="M232" s="10" t="s">
        <v>49</v>
      </c>
      <c r="N232" s="10" t="s">
        <v>117</v>
      </c>
      <c r="O232" s="6" t="s">
        <v>8</v>
      </c>
      <c r="P232" s="6">
        <v>7</v>
      </c>
      <c r="Q232" s="6" t="s">
        <v>20</v>
      </c>
      <c r="R232" s="44" t="s">
        <v>763</v>
      </c>
    </row>
    <row r="233" spans="1:18" x14ac:dyDescent="0.25">
      <c r="A233" s="6" t="s">
        <v>21</v>
      </c>
      <c r="B233" s="6">
        <v>12294493</v>
      </c>
      <c r="C233" s="6" t="s">
        <v>14</v>
      </c>
      <c r="D233" s="7" t="s">
        <v>886</v>
      </c>
      <c r="E233" s="8">
        <v>44654</v>
      </c>
      <c r="F233" s="9">
        <v>44659</v>
      </c>
      <c r="G233" s="9">
        <v>44655</v>
      </c>
      <c r="H233" s="3">
        <v>1</v>
      </c>
      <c r="I233" s="7" t="s">
        <v>818</v>
      </c>
      <c r="J233" s="7" t="s">
        <v>73</v>
      </c>
      <c r="K233" s="25" t="s">
        <v>117</v>
      </c>
      <c r="L233" s="10" t="s">
        <v>117</v>
      </c>
      <c r="M233" s="10" t="s">
        <v>49</v>
      </c>
      <c r="N233" s="10" t="s">
        <v>117</v>
      </c>
      <c r="O233" s="6" t="s">
        <v>8</v>
      </c>
      <c r="P233" s="6">
        <v>7</v>
      </c>
      <c r="Q233" s="6" t="s">
        <v>20</v>
      </c>
      <c r="R233" s="44" t="s">
        <v>770</v>
      </c>
    </row>
    <row r="234" spans="1:18" x14ac:dyDescent="0.25">
      <c r="A234" s="6" t="s">
        <v>21</v>
      </c>
      <c r="B234" s="6">
        <v>12343813</v>
      </c>
      <c r="C234" s="6" t="s">
        <v>14</v>
      </c>
      <c r="D234" s="7" t="s">
        <v>887</v>
      </c>
      <c r="E234" s="8">
        <v>44654</v>
      </c>
      <c r="F234" s="9">
        <v>44659</v>
      </c>
      <c r="G234" s="9">
        <v>44655</v>
      </c>
      <c r="H234" s="3">
        <v>1</v>
      </c>
      <c r="I234" s="7" t="s">
        <v>818</v>
      </c>
      <c r="J234" s="7" t="s">
        <v>73</v>
      </c>
      <c r="K234" s="25" t="s">
        <v>117</v>
      </c>
      <c r="L234" s="10" t="s">
        <v>117</v>
      </c>
      <c r="M234" s="10" t="s">
        <v>49</v>
      </c>
      <c r="N234" s="10" t="s">
        <v>117</v>
      </c>
      <c r="O234" s="6" t="s">
        <v>8</v>
      </c>
      <c r="P234" s="6">
        <v>7</v>
      </c>
      <c r="Q234" s="6" t="s">
        <v>20</v>
      </c>
      <c r="R234" s="44" t="s">
        <v>776</v>
      </c>
    </row>
    <row r="235" spans="1:18" x14ac:dyDescent="0.25">
      <c r="A235" s="6" t="s">
        <v>21</v>
      </c>
      <c r="B235" s="6">
        <v>12342674</v>
      </c>
      <c r="C235" s="6" t="s">
        <v>14</v>
      </c>
      <c r="D235" s="7" t="s">
        <v>888</v>
      </c>
      <c r="E235" s="8">
        <v>44654</v>
      </c>
      <c r="F235" s="9">
        <v>44659</v>
      </c>
      <c r="G235" s="9">
        <v>44655</v>
      </c>
      <c r="H235" s="3">
        <v>1</v>
      </c>
      <c r="I235" s="7" t="s">
        <v>818</v>
      </c>
      <c r="J235" s="7" t="s">
        <v>73</v>
      </c>
      <c r="K235" s="25" t="s">
        <v>117</v>
      </c>
      <c r="L235" s="10" t="s">
        <v>117</v>
      </c>
      <c r="M235" s="10" t="s">
        <v>49</v>
      </c>
      <c r="N235" s="10" t="s">
        <v>117</v>
      </c>
      <c r="O235" s="6" t="s">
        <v>8</v>
      </c>
      <c r="P235" s="6">
        <v>7</v>
      </c>
      <c r="Q235" s="6" t="s">
        <v>20</v>
      </c>
      <c r="R235" s="44" t="s">
        <v>790</v>
      </c>
    </row>
    <row r="236" spans="1:18" x14ac:dyDescent="0.25">
      <c r="A236" s="6" t="s">
        <v>21</v>
      </c>
      <c r="B236" s="6">
        <v>12344267</v>
      </c>
      <c r="C236" s="6" t="s">
        <v>14</v>
      </c>
      <c r="D236" s="7" t="s">
        <v>889</v>
      </c>
      <c r="E236" s="8">
        <v>44654</v>
      </c>
      <c r="F236" s="9">
        <v>44659</v>
      </c>
      <c r="G236" s="9">
        <v>44655</v>
      </c>
      <c r="H236" s="3">
        <v>1</v>
      </c>
      <c r="I236" s="7" t="s">
        <v>818</v>
      </c>
      <c r="J236" s="7" t="s">
        <v>73</v>
      </c>
      <c r="K236" s="25" t="s">
        <v>117</v>
      </c>
      <c r="L236" s="10" t="s">
        <v>117</v>
      </c>
      <c r="M236" s="10" t="s">
        <v>49</v>
      </c>
      <c r="N236" s="10" t="s">
        <v>117</v>
      </c>
      <c r="O236" s="6" t="s">
        <v>8</v>
      </c>
      <c r="P236" s="6">
        <v>7</v>
      </c>
      <c r="Q236" s="6" t="s">
        <v>20</v>
      </c>
      <c r="R236" s="44" t="s">
        <v>792</v>
      </c>
    </row>
    <row r="237" spans="1:18" x14ac:dyDescent="0.25">
      <c r="A237" s="6" t="s">
        <v>21</v>
      </c>
      <c r="B237" s="6">
        <v>12347900</v>
      </c>
      <c r="C237" s="6" t="s">
        <v>14</v>
      </c>
      <c r="D237" s="7" t="s">
        <v>890</v>
      </c>
      <c r="E237" s="8">
        <v>44654</v>
      </c>
      <c r="F237" s="9">
        <v>44659</v>
      </c>
      <c r="G237" s="9">
        <v>44655</v>
      </c>
      <c r="H237" s="3">
        <v>1</v>
      </c>
      <c r="I237" s="7" t="s">
        <v>818</v>
      </c>
      <c r="J237" s="7" t="s">
        <v>73</v>
      </c>
      <c r="K237" s="25" t="s">
        <v>117</v>
      </c>
      <c r="L237" s="10" t="s">
        <v>117</v>
      </c>
      <c r="M237" s="10" t="s">
        <v>49</v>
      </c>
      <c r="N237" s="10" t="s">
        <v>117</v>
      </c>
      <c r="O237" s="6" t="s">
        <v>8</v>
      </c>
      <c r="P237" s="6">
        <v>7</v>
      </c>
      <c r="Q237" s="6" t="s">
        <v>20</v>
      </c>
      <c r="R237" s="44" t="s">
        <v>794</v>
      </c>
    </row>
    <row r="238" spans="1:18" x14ac:dyDescent="0.25">
      <c r="A238" s="6" t="s">
        <v>75</v>
      </c>
      <c r="B238" s="6">
        <v>12345483</v>
      </c>
      <c r="C238" s="6" t="s">
        <v>9</v>
      </c>
      <c r="D238" s="7" t="s">
        <v>891</v>
      </c>
      <c r="E238" s="8">
        <v>44654</v>
      </c>
      <c r="F238" s="9">
        <v>44659</v>
      </c>
      <c r="G238" s="9">
        <v>44655</v>
      </c>
      <c r="H238" s="3">
        <v>1</v>
      </c>
      <c r="I238" s="7" t="s">
        <v>818</v>
      </c>
      <c r="J238" s="7" t="s">
        <v>73</v>
      </c>
      <c r="K238" s="25" t="s">
        <v>117</v>
      </c>
      <c r="L238" s="10" t="s">
        <v>117</v>
      </c>
      <c r="M238" s="10" t="s">
        <v>47</v>
      </c>
      <c r="N238" s="10" t="s">
        <v>117</v>
      </c>
      <c r="O238" s="6" t="s">
        <v>8</v>
      </c>
      <c r="P238" s="6">
        <v>2</v>
      </c>
      <c r="Q238" s="6" t="s">
        <v>12</v>
      </c>
      <c r="R238" s="44" t="s">
        <v>795</v>
      </c>
    </row>
    <row r="239" spans="1:18" x14ac:dyDescent="0.25">
      <c r="A239" s="6" t="s">
        <v>75</v>
      </c>
      <c r="B239" s="6">
        <v>12345589</v>
      </c>
      <c r="C239" s="6" t="s">
        <v>9</v>
      </c>
      <c r="D239" s="7" t="s">
        <v>892</v>
      </c>
      <c r="E239" s="8">
        <v>44654</v>
      </c>
      <c r="F239" s="9">
        <v>44659</v>
      </c>
      <c r="G239" s="9">
        <v>44655</v>
      </c>
      <c r="H239" s="3">
        <v>1</v>
      </c>
      <c r="I239" s="7" t="s">
        <v>818</v>
      </c>
      <c r="J239" s="7" t="s">
        <v>73</v>
      </c>
      <c r="K239" s="25" t="s">
        <v>117</v>
      </c>
      <c r="L239" s="10" t="s">
        <v>117</v>
      </c>
      <c r="M239" s="10" t="s">
        <v>47</v>
      </c>
      <c r="N239" s="10" t="s">
        <v>117</v>
      </c>
      <c r="O239" s="6" t="s">
        <v>8</v>
      </c>
      <c r="P239" s="6">
        <v>2</v>
      </c>
      <c r="Q239" s="6" t="s">
        <v>12</v>
      </c>
      <c r="R239" s="44" t="s">
        <v>796</v>
      </c>
    </row>
    <row r="240" spans="1:18" x14ac:dyDescent="0.25">
      <c r="A240" s="6" t="s">
        <v>75</v>
      </c>
      <c r="B240" s="6">
        <v>12346463</v>
      </c>
      <c r="C240" s="6" t="s">
        <v>9</v>
      </c>
      <c r="D240" s="7" t="s">
        <v>893</v>
      </c>
      <c r="E240" s="8">
        <v>44654</v>
      </c>
      <c r="F240" s="9">
        <v>44659</v>
      </c>
      <c r="G240" s="9">
        <v>44655</v>
      </c>
      <c r="H240" s="3">
        <v>1</v>
      </c>
      <c r="I240" s="7" t="s">
        <v>818</v>
      </c>
      <c r="J240" s="7" t="s">
        <v>73</v>
      </c>
      <c r="K240" s="25" t="s">
        <v>117</v>
      </c>
      <c r="L240" s="10" t="s">
        <v>117</v>
      </c>
      <c r="M240" s="10" t="s">
        <v>47</v>
      </c>
      <c r="N240" s="10" t="s">
        <v>117</v>
      </c>
      <c r="O240" s="6" t="s">
        <v>8</v>
      </c>
      <c r="P240" s="6">
        <v>2</v>
      </c>
      <c r="Q240" s="6" t="s">
        <v>12</v>
      </c>
      <c r="R240" s="44" t="s">
        <v>797</v>
      </c>
    </row>
    <row r="241" spans="1:18" x14ac:dyDescent="0.25">
      <c r="A241" s="6" t="s">
        <v>75</v>
      </c>
      <c r="B241" s="6">
        <v>12347150</v>
      </c>
      <c r="C241" s="6" t="s">
        <v>9</v>
      </c>
      <c r="D241" s="7" t="s">
        <v>894</v>
      </c>
      <c r="E241" s="8">
        <v>44654</v>
      </c>
      <c r="F241" s="9">
        <v>44659</v>
      </c>
      <c r="G241" s="9">
        <v>44655</v>
      </c>
      <c r="H241" s="3">
        <v>1</v>
      </c>
      <c r="I241" s="7" t="s">
        <v>818</v>
      </c>
      <c r="J241" s="7" t="s">
        <v>73</v>
      </c>
      <c r="K241" s="25" t="s">
        <v>117</v>
      </c>
      <c r="L241" s="10" t="s">
        <v>117</v>
      </c>
      <c r="M241" s="10" t="s">
        <v>47</v>
      </c>
      <c r="N241" s="10" t="s">
        <v>117</v>
      </c>
      <c r="O241" s="6" t="s">
        <v>8</v>
      </c>
      <c r="P241" s="6">
        <v>2</v>
      </c>
      <c r="Q241" s="6" t="s">
        <v>12</v>
      </c>
      <c r="R241" s="44" t="s">
        <v>798</v>
      </c>
    </row>
    <row r="242" spans="1:18" x14ac:dyDescent="0.25">
      <c r="A242" s="6" t="s">
        <v>75</v>
      </c>
      <c r="B242" s="6">
        <v>12348159</v>
      </c>
      <c r="C242" s="6" t="s">
        <v>9</v>
      </c>
      <c r="D242" s="7" t="s">
        <v>895</v>
      </c>
      <c r="E242" s="8">
        <v>44654</v>
      </c>
      <c r="F242" s="9">
        <v>44659</v>
      </c>
      <c r="G242" s="9">
        <v>44655</v>
      </c>
      <c r="H242" s="3">
        <v>1</v>
      </c>
      <c r="I242" s="7" t="s">
        <v>818</v>
      </c>
      <c r="J242" s="7" t="s">
        <v>73</v>
      </c>
      <c r="K242" s="25" t="s">
        <v>117</v>
      </c>
      <c r="L242" s="10" t="s">
        <v>117</v>
      </c>
      <c r="M242" s="10" t="s">
        <v>47</v>
      </c>
      <c r="N242" s="10" t="s">
        <v>117</v>
      </c>
      <c r="O242" s="6" t="s">
        <v>8</v>
      </c>
      <c r="P242" s="6">
        <v>2</v>
      </c>
      <c r="Q242" s="6" t="s">
        <v>12</v>
      </c>
      <c r="R242" s="44" t="s">
        <v>799</v>
      </c>
    </row>
    <row r="243" spans="1:18" x14ac:dyDescent="0.25">
      <c r="A243" s="6" t="s">
        <v>75</v>
      </c>
      <c r="B243" s="6">
        <v>12348767</v>
      </c>
      <c r="C243" s="6" t="s">
        <v>9</v>
      </c>
      <c r="D243" s="7" t="s">
        <v>896</v>
      </c>
      <c r="E243" s="8">
        <v>44654</v>
      </c>
      <c r="F243" s="9">
        <v>44659</v>
      </c>
      <c r="G243" s="9">
        <v>44655</v>
      </c>
      <c r="H243" s="3">
        <v>1</v>
      </c>
      <c r="I243" s="7" t="s">
        <v>818</v>
      </c>
      <c r="J243" s="7" t="s">
        <v>73</v>
      </c>
      <c r="K243" s="25" t="s">
        <v>117</v>
      </c>
      <c r="L243" s="10" t="s">
        <v>117</v>
      </c>
      <c r="M243" s="10" t="s">
        <v>47</v>
      </c>
      <c r="N243" s="10" t="s">
        <v>117</v>
      </c>
      <c r="O243" s="6" t="s">
        <v>8</v>
      </c>
      <c r="P243" s="6">
        <v>2</v>
      </c>
      <c r="Q243" s="6" t="s">
        <v>12</v>
      </c>
      <c r="R243" s="44" t="s">
        <v>800</v>
      </c>
    </row>
    <row r="244" spans="1:18" x14ac:dyDescent="0.25">
      <c r="A244" s="6" t="s">
        <v>75</v>
      </c>
      <c r="B244" s="6">
        <v>12349075</v>
      </c>
      <c r="C244" s="6" t="s">
        <v>9</v>
      </c>
      <c r="D244" s="7" t="s">
        <v>897</v>
      </c>
      <c r="E244" s="8">
        <v>44654</v>
      </c>
      <c r="F244" s="9">
        <v>44659</v>
      </c>
      <c r="G244" s="9">
        <v>44655</v>
      </c>
      <c r="H244" s="3">
        <v>1</v>
      </c>
      <c r="I244" s="7" t="s">
        <v>818</v>
      </c>
      <c r="J244" s="7" t="s">
        <v>73</v>
      </c>
      <c r="K244" s="25" t="s">
        <v>117</v>
      </c>
      <c r="L244" s="10" t="s">
        <v>117</v>
      </c>
      <c r="M244" s="10" t="s">
        <v>47</v>
      </c>
      <c r="N244" s="10" t="s">
        <v>117</v>
      </c>
      <c r="O244" s="6" t="s">
        <v>8</v>
      </c>
      <c r="P244" s="6">
        <v>2</v>
      </c>
      <c r="Q244" s="6" t="s">
        <v>12</v>
      </c>
      <c r="R244" s="44" t="s">
        <v>801</v>
      </c>
    </row>
    <row r="245" spans="1:18" x14ac:dyDescent="0.25">
      <c r="A245" s="5" t="s">
        <v>75</v>
      </c>
      <c r="B245" s="5">
        <v>12349315</v>
      </c>
      <c r="C245" s="5" t="s">
        <v>9</v>
      </c>
      <c r="D245" s="7" t="s">
        <v>898</v>
      </c>
      <c r="E245" s="8">
        <v>44654</v>
      </c>
      <c r="F245" s="9">
        <v>44659</v>
      </c>
      <c r="G245" s="9">
        <v>44655</v>
      </c>
      <c r="H245" s="3">
        <v>1</v>
      </c>
      <c r="I245" s="7" t="s">
        <v>818</v>
      </c>
      <c r="J245" s="7" t="s">
        <v>73</v>
      </c>
      <c r="K245" s="25" t="s">
        <v>117</v>
      </c>
      <c r="L245" s="10" t="s">
        <v>117</v>
      </c>
      <c r="M245" s="10" t="s">
        <v>47</v>
      </c>
      <c r="N245" s="10" t="s">
        <v>117</v>
      </c>
      <c r="O245" s="5" t="s">
        <v>8</v>
      </c>
      <c r="P245" s="5">
        <v>2</v>
      </c>
      <c r="Q245" s="5" t="s">
        <v>12</v>
      </c>
      <c r="R245" s="43" t="s">
        <v>802</v>
      </c>
    </row>
    <row r="246" spans="1:18" x14ac:dyDescent="0.25">
      <c r="A246" s="5" t="s">
        <v>75</v>
      </c>
      <c r="B246" s="5">
        <v>12350989</v>
      </c>
      <c r="C246" s="5" t="s">
        <v>9</v>
      </c>
      <c r="D246" s="7" t="s">
        <v>899</v>
      </c>
      <c r="E246" s="8">
        <v>44654</v>
      </c>
      <c r="F246" s="9">
        <v>44659</v>
      </c>
      <c r="G246" s="9">
        <v>44655</v>
      </c>
      <c r="H246" s="3">
        <v>1</v>
      </c>
      <c r="I246" s="7" t="s">
        <v>818</v>
      </c>
      <c r="J246" s="7" t="s">
        <v>73</v>
      </c>
      <c r="K246" s="25" t="s">
        <v>117</v>
      </c>
      <c r="L246" s="10" t="s">
        <v>117</v>
      </c>
      <c r="M246" s="10" t="s">
        <v>47</v>
      </c>
      <c r="N246" s="10" t="s">
        <v>117</v>
      </c>
      <c r="O246" s="5" t="s">
        <v>8</v>
      </c>
      <c r="P246" s="5">
        <v>2</v>
      </c>
      <c r="Q246" s="5" t="s">
        <v>12</v>
      </c>
      <c r="R246" s="43" t="s">
        <v>803</v>
      </c>
    </row>
    <row r="247" spans="1:18" x14ac:dyDescent="0.25">
      <c r="A247" s="5" t="s">
        <v>75</v>
      </c>
      <c r="B247" s="5">
        <v>12352804</v>
      </c>
      <c r="C247" s="5" t="s">
        <v>9</v>
      </c>
      <c r="D247" s="7" t="s">
        <v>900</v>
      </c>
      <c r="E247" s="8">
        <v>44654</v>
      </c>
      <c r="F247" s="9">
        <v>44659</v>
      </c>
      <c r="G247" s="9">
        <v>44655</v>
      </c>
      <c r="H247" s="3">
        <v>1</v>
      </c>
      <c r="I247" s="7" t="s">
        <v>818</v>
      </c>
      <c r="J247" s="7" t="s">
        <v>73</v>
      </c>
      <c r="K247" s="25" t="s">
        <v>117</v>
      </c>
      <c r="L247" s="10" t="s">
        <v>117</v>
      </c>
      <c r="M247" s="10" t="s">
        <v>47</v>
      </c>
      <c r="N247" s="10" t="s">
        <v>117</v>
      </c>
      <c r="O247" s="5" t="s">
        <v>8</v>
      </c>
      <c r="P247" s="5">
        <v>2</v>
      </c>
      <c r="Q247" s="5" t="s">
        <v>12</v>
      </c>
      <c r="R247" s="43" t="s">
        <v>804</v>
      </c>
    </row>
    <row r="248" spans="1:18" x14ac:dyDescent="0.25">
      <c r="A248" s="5" t="s">
        <v>75</v>
      </c>
      <c r="B248" s="5">
        <v>12353202</v>
      </c>
      <c r="C248" s="5" t="s">
        <v>9</v>
      </c>
      <c r="D248" s="7" t="s">
        <v>901</v>
      </c>
      <c r="E248" s="8">
        <v>44654</v>
      </c>
      <c r="F248" s="9">
        <v>44659</v>
      </c>
      <c r="G248" s="9">
        <v>44655</v>
      </c>
      <c r="H248" s="3">
        <v>1</v>
      </c>
      <c r="I248" s="7" t="s">
        <v>818</v>
      </c>
      <c r="J248" s="7" t="s">
        <v>73</v>
      </c>
      <c r="K248" s="25" t="s">
        <v>117</v>
      </c>
      <c r="L248" s="10" t="s">
        <v>117</v>
      </c>
      <c r="M248" s="10" t="s">
        <v>47</v>
      </c>
      <c r="N248" s="10" t="s">
        <v>117</v>
      </c>
      <c r="O248" s="5" t="s">
        <v>8</v>
      </c>
      <c r="P248" s="5">
        <v>2</v>
      </c>
      <c r="Q248" s="5" t="s">
        <v>12</v>
      </c>
      <c r="R248" s="43" t="s">
        <v>805</v>
      </c>
    </row>
    <row r="249" spans="1:18" x14ac:dyDescent="0.25">
      <c r="A249" s="6" t="s">
        <v>75</v>
      </c>
      <c r="B249" s="6">
        <v>12353341</v>
      </c>
      <c r="C249" s="6" t="s">
        <v>9</v>
      </c>
      <c r="D249" s="7" t="s">
        <v>902</v>
      </c>
      <c r="E249" s="8">
        <v>44654</v>
      </c>
      <c r="F249" s="9">
        <v>44659</v>
      </c>
      <c r="G249" s="9">
        <v>44655</v>
      </c>
      <c r="H249" s="3">
        <v>1</v>
      </c>
      <c r="I249" s="7" t="s">
        <v>818</v>
      </c>
      <c r="J249" s="7" t="s">
        <v>73</v>
      </c>
      <c r="K249" s="25" t="s">
        <v>117</v>
      </c>
      <c r="L249" s="10" t="s">
        <v>117</v>
      </c>
      <c r="M249" s="10" t="s">
        <v>47</v>
      </c>
      <c r="N249" s="10" t="s">
        <v>117</v>
      </c>
      <c r="O249" s="6" t="s">
        <v>8</v>
      </c>
      <c r="P249" s="6">
        <v>2</v>
      </c>
      <c r="Q249" s="6" t="s">
        <v>12</v>
      </c>
      <c r="R249" s="44" t="s">
        <v>806</v>
      </c>
    </row>
    <row r="250" spans="1:18" x14ac:dyDescent="0.25">
      <c r="A250" s="6" t="s">
        <v>75</v>
      </c>
      <c r="B250" s="6">
        <v>12353571</v>
      </c>
      <c r="C250" s="6" t="s">
        <v>9</v>
      </c>
      <c r="D250" s="7" t="s">
        <v>903</v>
      </c>
      <c r="E250" s="8">
        <v>44654</v>
      </c>
      <c r="F250" s="9">
        <v>44659</v>
      </c>
      <c r="G250" s="9">
        <v>44655</v>
      </c>
      <c r="H250" s="3">
        <v>1</v>
      </c>
      <c r="I250" s="7" t="s">
        <v>818</v>
      </c>
      <c r="J250" s="7" t="s">
        <v>73</v>
      </c>
      <c r="K250" s="25" t="s">
        <v>117</v>
      </c>
      <c r="L250" s="10" t="s">
        <v>117</v>
      </c>
      <c r="M250" s="10" t="s">
        <v>47</v>
      </c>
      <c r="N250" s="10" t="s">
        <v>117</v>
      </c>
      <c r="O250" s="6" t="s">
        <v>8</v>
      </c>
      <c r="P250" s="6">
        <v>2</v>
      </c>
      <c r="Q250" s="6" t="s">
        <v>12</v>
      </c>
      <c r="R250" s="44" t="s">
        <v>807</v>
      </c>
    </row>
    <row r="251" spans="1:18" x14ac:dyDescent="0.25">
      <c r="A251" s="6" t="s">
        <v>75</v>
      </c>
      <c r="B251" s="6">
        <v>12353975</v>
      </c>
      <c r="C251" s="6" t="s">
        <v>9</v>
      </c>
      <c r="D251" s="7" t="s">
        <v>904</v>
      </c>
      <c r="E251" s="8">
        <v>44654</v>
      </c>
      <c r="F251" s="9">
        <v>44659</v>
      </c>
      <c r="G251" s="9">
        <v>44655</v>
      </c>
      <c r="H251" s="3">
        <v>1</v>
      </c>
      <c r="I251" s="7" t="s">
        <v>818</v>
      </c>
      <c r="J251" s="7" t="s">
        <v>73</v>
      </c>
      <c r="K251" s="25" t="s">
        <v>117</v>
      </c>
      <c r="L251" s="10" t="s">
        <v>117</v>
      </c>
      <c r="M251" s="10" t="s">
        <v>47</v>
      </c>
      <c r="N251" s="10" t="s">
        <v>117</v>
      </c>
      <c r="O251" s="6" t="s">
        <v>8</v>
      </c>
      <c r="P251" s="6">
        <v>2</v>
      </c>
      <c r="Q251" s="6" t="s">
        <v>12</v>
      </c>
      <c r="R251" s="44" t="s">
        <v>808</v>
      </c>
    </row>
    <row r="252" spans="1:18" x14ac:dyDescent="0.25">
      <c r="A252" s="6" t="s">
        <v>22</v>
      </c>
      <c r="B252" s="6">
        <v>12345479</v>
      </c>
      <c r="C252" s="6" t="s">
        <v>9</v>
      </c>
      <c r="D252" s="7" t="s">
        <v>905</v>
      </c>
      <c r="E252" s="8">
        <v>44654</v>
      </c>
      <c r="F252" s="9">
        <v>44659</v>
      </c>
      <c r="G252" s="9">
        <v>44655</v>
      </c>
      <c r="H252" s="3">
        <v>1</v>
      </c>
      <c r="I252" s="7" t="s">
        <v>818</v>
      </c>
      <c r="J252" s="7" t="s">
        <v>73</v>
      </c>
      <c r="K252" s="25" t="s">
        <v>117</v>
      </c>
      <c r="L252" s="10" t="s">
        <v>117</v>
      </c>
      <c r="M252" s="10" t="s">
        <v>47</v>
      </c>
      <c r="N252" s="10" t="s">
        <v>117</v>
      </c>
      <c r="O252" s="6" t="s">
        <v>27</v>
      </c>
      <c r="P252" s="6">
        <v>2</v>
      </c>
      <c r="Q252" s="6" t="s">
        <v>12</v>
      </c>
      <c r="R252" s="44" t="s">
        <v>809</v>
      </c>
    </row>
    <row r="253" spans="1:18" x14ac:dyDescent="0.25">
      <c r="A253" s="6" t="s">
        <v>22</v>
      </c>
      <c r="B253" s="6">
        <v>12348744</v>
      </c>
      <c r="C253" s="6" t="s">
        <v>9</v>
      </c>
      <c r="D253" s="7" t="s">
        <v>906</v>
      </c>
      <c r="E253" s="8">
        <v>44654</v>
      </c>
      <c r="F253" s="9">
        <v>44659</v>
      </c>
      <c r="G253" s="9">
        <v>44655</v>
      </c>
      <c r="H253" s="3">
        <v>1</v>
      </c>
      <c r="I253" s="7" t="s">
        <v>818</v>
      </c>
      <c r="J253" s="7" t="s">
        <v>73</v>
      </c>
      <c r="K253" s="25" t="s">
        <v>117</v>
      </c>
      <c r="L253" s="10" t="s">
        <v>117</v>
      </c>
      <c r="M253" s="10" t="s">
        <v>47</v>
      </c>
      <c r="N253" s="10" t="s">
        <v>117</v>
      </c>
      <c r="O253" s="6" t="s">
        <v>27</v>
      </c>
      <c r="P253" s="6">
        <v>2</v>
      </c>
      <c r="Q253" s="6" t="s">
        <v>12</v>
      </c>
      <c r="R253" s="44" t="s">
        <v>810</v>
      </c>
    </row>
    <row r="254" spans="1:18" x14ac:dyDescent="0.25">
      <c r="A254" s="6" t="s">
        <v>22</v>
      </c>
      <c r="B254" s="6">
        <v>12348891</v>
      </c>
      <c r="C254" s="6" t="s">
        <v>9</v>
      </c>
      <c r="D254" s="7" t="s">
        <v>907</v>
      </c>
      <c r="E254" s="8">
        <v>44654</v>
      </c>
      <c r="F254" s="9">
        <v>44659</v>
      </c>
      <c r="G254" s="9">
        <v>44655</v>
      </c>
      <c r="H254" s="3">
        <v>1</v>
      </c>
      <c r="I254" s="7" t="s">
        <v>818</v>
      </c>
      <c r="J254" s="7" t="s">
        <v>73</v>
      </c>
      <c r="K254" s="25" t="s">
        <v>117</v>
      </c>
      <c r="L254" s="10" t="s">
        <v>117</v>
      </c>
      <c r="M254" s="10" t="s">
        <v>47</v>
      </c>
      <c r="N254" s="10" t="s">
        <v>117</v>
      </c>
      <c r="O254" s="6" t="s">
        <v>27</v>
      </c>
      <c r="P254" s="6">
        <v>2</v>
      </c>
      <c r="Q254" s="6" t="s">
        <v>12</v>
      </c>
      <c r="R254" s="44" t="s">
        <v>811</v>
      </c>
    </row>
    <row r="255" spans="1:18" x14ac:dyDescent="0.25">
      <c r="A255" s="6" t="s">
        <v>22</v>
      </c>
      <c r="B255" s="6">
        <v>12349122</v>
      </c>
      <c r="C255" s="6" t="s">
        <v>9</v>
      </c>
      <c r="D255" s="7" t="s">
        <v>908</v>
      </c>
      <c r="E255" s="8">
        <v>44654</v>
      </c>
      <c r="F255" s="9">
        <v>44659</v>
      </c>
      <c r="G255" s="9">
        <v>44655</v>
      </c>
      <c r="H255" s="3">
        <v>1</v>
      </c>
      <c r="I255" s="7" t="s">
        <v>818</v>
      </c>
      <c r="J255" s="7" t="s">
        <v>73</v>
      </c>
      <c r="K255" s="25" t="s">
        <v>117</v>
      </c>
      <c r="L255" s="10" t="s">
        <v>117</v>
      </c>
      <c r="M255" s="10" t="s">
        <v>47</v>
      </c>
      <c r="N255" s="10" t="s">
        <v>117</v>
      </c>
      <c r="O255" s="6" t="s">
        <v>27</v>
      </c>
      <c r="P255" s="6">
        <v>2</v>
      </c>
      <c r="Q255" s="6" t="s">
        <v>12</v>
      </c>
      <c r="R255" s="44" t="s">
        <v>812</v>
      </c>
    </row>
    <row r="256" spans="1:18" x14ac:dyDescent="0.25">
      <c r="A256" s="6" t="s">
        <v>22</v>
      </c>
      <c r="B256" s="6">
        <v>12349141</v>
      </c>
      <c r="C256" s="6" t="s">
        <v>9</v>
      </c>
      <c r="D256" s="7" t="s">
        <v>909</v>
      </c>
      <c r="E256" s="8">
        <v>44654</v>
      </c>
      <c r="F256" s="9">
        <v>44659</v>
      </c>
      <c r="G256" s="9">
        <v>44655</v>
      </c>
      <c r="H256" s="3">
        <v>1</v>
      </c>
      <c r="I256" s="7" t="s">
        <v>818</v>
      </c>
      <c r="J256" s="7" t="s">
        <v>73</v>
      </c>
      <c r="K256" s="25" t="s">
        <v>117</v>
      </c>
      <c r="L256" s="10" t="s">
        <v>117</v>
      </c>
      <c r="M256" s="10" t="s">
        <v>47</v>
      </c>
      <c r="N256" s="10" t="s">
        <v>117</v>
      </c>
      <c r="O256" s="6" t="s">
        <v>27</v>
      </c>
      <c r="P256" s="6">
        <v>2</v>
      </c>
      <c r="Q256" s="6" t="s">
        <v>12</v>
      </c>
      <c r="R256" s="44" t="s">
        <v>813</v>
      </c>
    </row>
    <row r="257" spans="1:18" x14ac:dyDescent="0.25">
      <c r="A257" s="6" t="s">
        <v>22</v>
      </c>
      <c r="B257" s="6">
        <v>12336697</v>
      </c>
      <c r="C257" s="6" t="s">
        <v>24</v>
      </c>
      <c r="D257" s="7" t="s">
        <v>910</v>
      </c>
      <c r="E257" s="8">
        <v>44654</v>
      </c>
      <c r="F257" s="9">
        <v>44659</v>
      </c>
      <c r="G257" s="9">
        <v>44655</v>
      </c>
      <c r="H257" s="3">
        <v>1</v>
      </c>
      <c r="I257" s="7" t="s">
        <v>818</v>
      </c>
      <c r="J257" s="7" t="s">
        <v>73</v>
      </c>
      <c r="K257" s="25" t="s">
        <v>117</v>
      </c>
      <c r="L257" s="10" t="s">
        <v>117</v>
      </c>
      <c r="M257" s="10" t="s">
        <v>47</v>
      </c>
      <c r="N257" s="10" t="s">
        <v>117</v>
      </c>
      <c r="O257" s="6" t="s">
        <v>28</v>
      </c>
      <c r="P257" s="6">
        <v>2</v>
      </c>
      <c r="Q257" s="6" t="s">
        <v>30</v>
      </c>
      <c r="R257" s="44" t="s">
        <v>814</v>
      </c>
    </row>
    <row r="258" spans="1:18" x14ac:dyDescent="0.25">
      <c r="A258" s="6" t="s">
        <v>22</v>
      </c>
      <c r="B258" s="6">
        <v>12346995</v>
      </c>
      <c r="C258" s="6" t="s">
        <v>24</v>
      </c>
      <c r="D258" s="7" t="s">
        <v>911</v>
      </c>
      <c r="E258" s="8">
        <v>44654</v>
      </c>
      <c r="F258" s="9">
        <v>44659</v>
      </c>
      <c r="G258" s="9">
        <v>44655</v>
      </c>
      <c r="H258" s="3">
        <v>1</v>
      </c>
      <c r="I258" s="7" t="s">
        <v>818</v>
      </c>
      <c r="J258" s="7" t="s">
        <v>73</v>
      </c>
      <c r="K258" s="25" t="s">
        <v>117</v>
      </c>
      <c r="L258" s="10" t="s">
        <v>117</v>
      </c>
      <c r="M258" s="10" t="s">
        <v>47</v>
      </c>
      <c r="N258" s="10" t="s">
        <v>117</v>
      </c>
      <c r="O258" s="6" t="s">
        <v>28</v>
      </c>
      <c r="P258" s="6">
        <v>2</v>
      </c>
      <c r="Q258" s="6" t="s">
        <v>30</v>
      </c>
      <c r="R258" s="44" t="s">
        <v>815</v>
      </c>
    </row>
    <row r="259" spans="1:18" x14ac:dyDescent="0.25">
      <c r="A259" s="5" t="s">
        <v>16</v>
      </c>
      <c r="B259" s="5">
        <v>12342177</v>
      </c>
      <c r="C259" s="5" t="s">
        <v>9</v>
      </c>
      <c r="D259" s="7" t="s">
        <v>912</v>
      </c>
      <c r="E259" s="8">
        <v>44654</v>
      </c>
      <c r="F259" s="9">
        <v>44659</v>
      </c>
      <c r="G259" s="9">
        <v>44655</v>
      </c>
      <c r="H259" s="3">
        <v>1</v>
      </c>
      <c r="I259" s="7" t="s">
        <v>818</v>
      </c>
      <c r="J259" s="7" t="s">
        <v>73</v>
      </c>
      <c r="K259" s="25" t="s">
        <v>117</v>
      </c>
      <c r="L259" s="10" t="s">
        <v>117</v>
      </c>
      <c r="M259" s="10" t="s">
        <v>47</v>
      </c>
      <c r="N259" s="10" t="s">
        <v>117</v>
      </c>
      <c r="O259" s="5" t="s">
        <v>68</v>
      </c>
      <c r="P259" s="5">
        <v>2</v>
      </c>
      <c r="Q259" s="5" t="s">
        <v>12</v>
      </c>
      <c r="R259" s="43" t="s">
        <v>816</v>
      </c>
    </row>
    <row r="260" spans="1:18" x14ac:dyDescent="0.25">
      <c r="A260" s="6"/>
      <c r="B260" s="6"/>
      <c r="C260" s="6"/>
      <c r="D260" s="7"/>
      <c r="E260" s="8"/>
      <c r="F260" s="9"/>
      <c r="G260" s="9"/>
      <c r="H260" s="3"/>
      <c r="I260" s="7"/>
      <c r="J260" s="7"/>
      <c r="K260" s="25"/>
      <c r="L260" s="10"/>
      <c r="M260" s="10"/>
      <c r="N260" s="10"/>
      <c r="O260" s="6"/>
      <c r="P260" s="6"/>
      <c r="Q260" s="6"/>
      <c r="R260" s="44"/>
    </row>
    <row r="261" spans="1:18" x14ac:dyDescent="0.25">
      <c r="A261" s="6"/>
      <c r="B261" s="6"/>
      <c r="C261" s="6"/>
      <c r="D261" s="7"/>
      <c r="E261" s="8"/>
      <c r="F261" s="9"/>
      <c r="G261" s="9"/>
      <c r="H261" s="3"/>
      <c r="I261" s="7"/>
      <c r="J261" s="7"/>
      <c r="K261" s="25"/>
      <c r="L261" s="10"/>
      <c r="M261" s="10"/>
      <c r="N261" s="10"/>
      <c r="O261" s="6"/>
      <c r="P261" s="6"/>
      <c r="Q261" s="6"/>
      <c r="R261" s="44"/>
    </row>
    <row r="262" spans="1:18" x14ac:dyDescent="0.25">
      <c r="A262" s="6"/>
      <c r="B262" s="6"/>
      <c r="C262" s="6"/>
      <c r="D262" s="7"/>
      <c r="E262" s="8"/>
      <c r="F262" s="9"/>
      <c r="G262" s="9"/>
      <c r="H262" s="3"/>
      <c r="I262" s="7"/>
      <c r="J262" s="7"/>
      <c r="K262" s="25"/>
      <c r="L262" s="10"/>
      <c r="M262" s="10"/>
      <c r="N262" s="10"/>
      <c r="O262" s="6"/>
      <c r="P262" s="6"/>
      <c r="Q262" s="6"/>
      <c r="R262" s="44"/>
    </row>
    <row r="263" spans="1:18" x14ac:dyDescent="0.25">
      <c r="A263" s="6"/>
      <c r="B263" s="6"/>
      <c r="C263" s="6"/>
      <c r="D263" s="7"/>
      <c r="E263" s="8"/>
      <c r="F263" s="9"/>
      <c r="G263" s="9"/>
      <c r="H263" s="3"/>
      <c r="I263" s="7"/>
      <c r="J263" s="7"/>
      <c r="K263" s="25"/>
      <c r="L263" s="10"/>
      <c r="M263" s="10"/>
      <c r="N263" s="10"/>
      <c r="O263" s="6"/>
      <c r="P263" s="6"/>
      <c r="Q263" s="6"/>
      <c r="R263" s="44"/>
    </row>
    <row r="264" spans="1:18" x14ac:dyDescent="0.25">
      <c r="A264" s="6"/>
      <c r="B264" s="6"/>
      <c r="C264" s="6"/>
      <c r="D264" s="7"/>
      <c r="E264" s="8"/>
      <c r="F264" s="9"/>
      <c r="G264" s="9"/>
      <c r="H264" s="3"/>
      <c r="I264" s="7"/>
      <c r="J264" s="7"/>
      <c r="K264" s="25"/>
      <c r="L264" s="10"/>
      <c r="M264" s="10"/>
      <c r="N264" s="10"/>
      <c r="O264" s="6"/>
      <c r="P264" s="6"/>
      <c r="Q264" s="6"/>
      <c r="R264" s="44"/>
    </row>
    <row r="265" spans="1:18" x14ac:dyDescent="0.25">
      <c r="A265" s="6"/>
      <c r="B265" s="6"/>
      <c r="C265" s="6"/>
      <c r="D265" s="7"/>
      <c r="E265" s="8"/>
      <c r="F265" s="9"/>
      <c r="G265" s="9"/>
      <c r="H265" s="3"/>
      <c r="I265" s="7"/>
      <c r="J265" s="7"/>
      <c r="K265" s="25"/>
      <c r="L265" s="10"/>
      <c r="M265" s="10"/>
      <c r="N265" s="10"/>
      <c r="O265" s="6"/>
      <c r="P265" s="6"/>
      <c r="Q265" s="6"/>
      <c r="R265" s="44"/>
    </row>
    <row r="266" spans="1:18" x14ac:dyDescent="0.25">
      <c r="A266" s="6"/>
      <c r="B266" s="6"/>
      <c r="C266" s="6"/>
      <c r="D266" s="7"/>
      <c r="E266" s="8"/>
      <c r="F266" s="9"/>
      <c r="G266" s="9"/>
      <c r="H266" s="3"/>
      <c r="I266" s="7"/>
      <c r="J266" s="7"/>
      <c r="K266" s="25"/>
      <c r="L266" s="10"/>
      <c r="M266" s="10"/>
      <c r="N266" s="10"/>
      <c r="O266" s="6"/>
      <c r="P266" s="6"/>
      <c r="Q266" s="6"/>
      <c r="R266" s="44"/>
    </row>
    <row r="267" spans="1:18" x14ac:dyDescent="0.25">
      <c r="A267" s="6"/>
      <c r="B267" s="6"/>
      <c r="C267" s="6"/>
      <c r="D267" s="7"/>
      <c r="E267" s="8"/>
      <c r="F267" s="9"/>
      <c r="G267" s="9"/>
      <c r="H267" s="3"/>
      <c r="I267" s="7"/>
      <c r="J267" s="7"/>
      <c r="K267" s="25"/>
      <c r="L267" s="10"/>
      <c r="M267" s="10"/>
      <c r="N267" s="10"/>
      <c r="O267" s="6"/>
      <c r="P267" s="6"/>
      <c r="Q267" s="6"/>
      <c r="R267" s="44"/>
    </row>
    <row r="268" spans="1:18" x14ac:dyDescent="0.25">
      <c r="D268" s="7"/>
      <c r="E268" s="8"/>
      <c r="F268" s="9"/>
      <c r="G268" s="9"/>
      <c r="H268" s="3"/>
      <c r="I268" s="7"/>
      <c r="J268" s="7"/>
      <c r="K268" s="25"/>
      <c r="L268" s="10"/>
      <c r="M268" s="10"/>
      <c r="N268" s="10"/>
    </row>
    <row r="269" spans="1:18" x14ac:dyDescent="0.25">
      <c r="A269" s="6"/>
      <c r="B269" s="6"/>
      <c r="C269" s="6"/>
      <c r="D269" s="7"/>
      <c r="E269" s="8"/>
      <c r="F269" s="9"/>
      <c r="G269" s="9"/>
      <c r="H269" s="3"/>
      <c r="I269" s="7"/>
      <c r="J269" s="7"/>
      <c r="K269" s="25"/>
      <c r="L269" s="10"/>
      <c r="M269" s="10"/>
      <c r="N269" s="10"/>
      <c r="O269" s="6"/>
      <c r="P269" s="6"/>
      <c r="Q269" s="6"/>
      <c r="R269" s="44"/>
    </row>
    <row r="270" spans="1:18" x14ac:dyDescent="0.25">
      <c r="A270" s="6"/>
      <c r="B270" s="6"/>
      <c r="C270" s="6"/>
      <c r="D270" s="7"/>
      <c r="E270" s="8"/>
      <c r="F270" s="9"/>
      <c r="G270" s="9"/>
      <c r="H270" s="3"/>
      <c r="I270" s="7"/>
      <c r="J270" s="7"/>
      <c r="K270" s="25"/>
      <c r="L270" s="10"/>
      <c r="M270" s="10"/>
      <c r="N270" s="10"/>
      <c r="O270" s="6"/>
      <c r="P270" s="6"/>
      <c r="Q270" s="6"/>
      <c r="R270" s="44"/>
    </row>
    <row r="271" spans="1:18" x14ac:dyDescent="0.25">
      <c r="D271" s="7"/>
      <c r="E271" s="8"/>
      <c r="F271" s="9"/>
      <c r="G271" s="9"/>
      <c r="H271" s="3"/>
      <c r="I271" s="7"/>
      <c r="J271" s="7"/>
      <c r="K271" s="25"/>
      <c r="L271" s="10"/>
      <c r="M271" s="10"/>
      <c r="N271" s="10"/>
    </row>
    <row r="272" spans="1:18" x14ac:dyDescent="0.25">
      <c r="A272" s="6"/>
      <c r="B272" s="6"/>
      <c r="C272" s="6"/>
      <c r="D272" s="7"/>
      <c r="E272" s="8"/>
      <c r="F272" s="9"/>
      <c r="G272" s="9"/>
      <c r="H272" s="3"/>
      <c r="I272" s="7"/>
      <c r="J272" s="7"/>
      <c r="K272" s="25"/>
      <c r="L272" s="10"/>
      <c r="M272" s="10"/>
      <c r="N272" s="10"/>
      <c r="O272" s="6"/>
      <c r="P272" s="6"/>
      <c r="Q272" s="6"/>
      <c r="R272" s="44"/>
    </row>
    <row r="273" spans="1:18" x14ac:dyDescent="0.25">
      <c r="A273" s="6"/>
      <c r="B273" s="6"/>
      <c r="C273" s="6"/>
      <c r="D273" s="7"/>
      <c r="E273" s="8"/>
      <c r="F273" s="9"/>
      <c r="G273" s="9"/>
      <c r="H273" s="3"/>
      <c r="I273" s="7"/>
      <c r="J273" s="7"/>
      <c r="K273" s="25"/>
      <c r="L273" s="10"/>
      <c r="M273" s="10"/>
      <c r="N273" s="10"/>
      <c r="O273" s="6"/>
      <c r="P273" s="6"/>
      <c r="Q273" s="6"/>
      <c r="R273" s="44"/>
    </row>
    <row r="274" spans="1:18" x14ac:dyDescent="0.25">
      <c r="A274" s="6"/>
      <c r="B274" s="6"/>
      <c r="C274" s="6"/>
      <c r="D274" s="7"/>
      <c r="E274" s="8"/>
      <c r="F274" s="9"/>
      <c r="G274" s="9"/>
      <c r="H274" s="3"/>
      <c r="I274" s="7"/>
      <c r="J274" s="7"/>
      <c r="K274" s="25"/>
      <c r="L274" s="10"/>
      <c r="M274" s="10"/>
      <c r="N274" s="10"/>
      <c r="O274" s="6"/>
      <c r="P274" s="6"/>
      <c r="Q274" s="6"/>
      <c r="R274" s="44"/>
    </row>
    <row r="275" spans="1:18" x14ac:dyDescent="0.25">
      <c r="A275" s="6"/>
      <c r="B275" s="6"/>
      <c r="C275" s="6"/>
      <c r="D275" s="7"/>
      <c r="E275" s="8"/>
      <c r="F275" s="9"/>
      <c r="G275" s="9"/>
      <c r="H275" s="3"/>
      <c r="I275" s="7"/>
      <c r="J275" s="7"/>
      <c r="K275" s="25"/>
      <c r="L275" s="10"/>
      <c r="M275" s="10"/>
      <c r="N275" s="10"/>
      <c r="O275" s="6"/>
      <c r="P275" s="6"/>
      <c r="Q275" s="6"/>
      <c r="R275" s="44"/>
    </row>
    <row r="276" spans="1:18" x14ac:dyDescent="0.25">
      <c r="A276" s="6"/>
      <c r="B276" s="6"/>
      <c r="C276" s="6"/>
      <c r="D276" s="7"/>
      <c r="E276" s="8"/>
      <c r="F276" s="9"/>
      <c r="G276" s="9"/>
      <c r="H276" s="3"/>
      <c r="I276" s="7"/>
      <c r="J276" s="7"/>
      <c r="K276" s="25"/>
      <c r="L276" s="10"/>
      <c r="M276" s="10"/>
      <c r="N276" s="10"/>
      <c r="O276" s="6"/>
      <c r="P276" s="6"/>
      <c r="Q276" s="6"/>
      <c r="R276" s="44"/>
    </row>
    <row r="277" spans="1:18" x14ac:dyDescent="0.25">
      <c r="A277" s="6"/>
      <c r="B277" s="6"/>
      <c r="C277" s="6"/>
      <c r="D277" s="7"/>
      <c r="E277" s="8"/>
      <c r="F277" s="9"/>
      <c r="G277" s="9"/>
      <c r="H277" s="3"/>
      <c r="I277" s="7"/>
      <c r="J277" s="7"/>
      <c r="K277" s="25"/>
      <c r="L277" s="10"/>
      <c r="M277" s="10"/>
      <c r="N277" s="10"/>
      <c r="O277" s="6"/>
      <c r="P277" s="6"/>
      <c r="Q277" s="6"/>
      <c r="R277" s="44"/>
    </row>
    <row r="278" spans="1:18" x14ac:dyDescent="0.25">
      <c r="A278" s="6"/>
      <c r="B278" s="6"/>
      <c r="C278" s="6"/>
      <c r="D278" s="7"/>
      <c r="E278" s="8"/>
      <c r="F278" s="9"/>
      <c r="G278" s="9"/>
      <c r="H278" s="3"/>
      <c r="I278" s="7"/>
      <c r="J278" s="7"/>
      <c r="K278" s="25"/>
      <c r="L278" s="10"/>
      <c r="M278" s="10"/>
      <c r="N278" s="10"/>
      <c r="O278" s="6"/>
      <c r="P278" s="6"/>
      <c r="Q278" s="6"/>
      <c r="R278" s="44"/>
    </row>
    <row r="279" spans="1:18" x14ac:dyDescent="0.25">
      <c r="D279" s="7"/>
      <c r="E279" s="8"/>
      <c r="F279" s="9"/>
      <c r="G279" s="9"/>
      <c r="H279" s="3"/>
      <c r="I279" s="7"/>
      <c r="J279" s="7"/>
      <c r="K279" s="25"/>
      <c r="L279" s="10"/>
      <c r="M279" s="10"/>
      <c r="N279" s="10"/>
    </row>
    <row r="280" spans="1:18" x14ac:dyDescent="0.25">
      <c r="D280" s="7"/>
      <c r="E280" s="8"/>
      <c r="F280" s="9"/>
      <c r="G280" s="9"/>
      <c r="H280" s="3"/>
      <c r="I280" s="7"/>
      <c r="J280" s="7"/>
      <c r="K280" s="25"/>
      <c r="L280" s="10"/>
      <c r="M280" s="10"/>
      <c r="N280" s="10"/>
    </row>
    <row r="281" spans="1:18" x14ac:dyDescent="0.25">
      <c r="A281" s="6"/>
      <c r="B281" s="6"/>
      <c r="C281" s="6"/>
      <c r="D281" s="7"/>
      <c r="E281" s="8"/>
      <c r="F281" s="9"/>
      <c r="G281" s="9"/>
      <c r="H281" s="3"/>
      <c r="I281" s="7"/>
      <c r="J281" s="7"/>
      <c r="K281" s="25"/>
      <c r="L281" s="10"/>
      <c r="M281" s="10"/>
      <c r="N281" s="10"/>
      <c r="O281" s="6"/>
      <c r="P281" s="6"/>
      <c r="Q281" s="6"/>
      <c r="R281" s="44"/>
    </row>
    <row r="282" spans="1:18" x14ac:dyDescent="0.25">
      <c r="A282" s="6"/>
      <c r="B282" s="6"/>
      <c r="C282" s="6"/>
      <c r="D282" s="7"/>
      <c r="E282" s="8"/>
      <c r="F282" s="9"/>
      <c r="G282" s="9"/>
      <c r="H282" s="3"/>
      <c r="I282" s="7"/>
      <c r="J282" s="7"/>
      <c r="K282" s="25"/>
      <c r="L282" s="10"/>
      <c r="M282" s="10"/>
      <c r="N282" s="10"/>
      <c r="O282" s="6"/>
      <c r="P282" s="6"/>
      <c r="Q282" s="6"/>
      <c r="R282" s="44"/>
    </row>
    <row r="283" spans="1:18" x14ac:dyDescent="0.25">
      <c r="A283" s="6"/>
      <c r="B283" s="6"/>
      <c r="C283" s="6"/>
      <c r="D283" s="7"/>
      <c r="E283" s="8"/>
      <c r="F283" s="9"/>
      <c r="G283" s="9"/>
      <c r="H283" s="3"/>
      <c r="I283" s="7"/>
      <c r="J283" s="7"/>
      <c r="K283" s="25"/>
      <c r="L283" s="10"/>
      <c r="M283" s="10"/>
      <c r="N283" s="10"/>
      <c r="O283" s="6"/>
      <c r="P283" s="6"/>
      <c r="Q283" s="6"/>
      <c r="R283" s="44"/>
    </row>
    <row r="284" spans="1:18" x14ac:dyDescent="0.25">
      <c r="A284" s="6"/>
      <c r="B284" s="6"/>
      <c r="C284" s="6"/>
      <c r="D284" s="7"/>
      <c r="E284" s="8"/>
      <c r="F284" s="9"/>
      <c r="G284" s="9"/>
      <c r="H284" s="3"/>
      <c r="I284" s="7"/>
      <c r="J284" s="7"/>
      <c r="K284" s="25"/>
      <c r="L284" s="10"/>
      <c r="M284" s="10"/>
      <c r="N284" s="10"/>
      <c r="O284" s="6"/>
      <c r="P284" s="6"/>
      <c r="Q284" s="6"/>
      <c r="R284" s="44"/>
    </row>
    <row r="285" spans="1:18" x14ac:dyDescent="0.25">
      <c r="A285" s="6"/>
      <c r="B285" s="6"/>
      <c r="C285" s="6"/>
      <c r="D285" s="7"/>
      <c r="E285" s="8"/>
      <c r="F285" s="9"/>
      <c r="G285" s="9"/>
      <c r="H285" s="3"/>
      <c r="I285" s="7"/>
      <c r="J285" s="7"/>
      <c r="K285" s="25"/>
      <c r="L285" s="10"/>
      <c r="M285" s="10"/>
      <c r="N285" s="10"/>
      <c r="O285" s="6"/>
      <c r="P285" s="6"/>
      <c r="Q285" s="6"/>
      <c r="R285" s="44"/>
    </row>
    <row r="286" spans="1:18" x14ac:dyDescent="0.25">
      <c r="D286" s="7"/>
      <c r="E286" s="8"/>
      <c r="F286" s="9"/>
      <c r="G286" s="9"/>
      <c r="H286" s="3"/>
      <c r="I286" s="7"/>
      <c r="J286" s="7"/>
      <c r="K286" s="25"/>
      <c r="L286" s="10"/>
      <c r="M286" s="10"/>
      <c r="N286" s="10"/>
    </row>
    <row r="287" spans="1:18" x14ac:dyDescent="0.25">
      <c r="D287" s="7"/>
      <c r="E287" s="8"/>
      <c r="F287" s="9"/>
      <c r="G287" s="9"/>
      <c r="H287" s="3"/>
      <c r="I287" s="7"/>
      <c r="J287" s="7"/>
      <c r="K287" s="25"/>
      <c r="L287" s="10"/>
      <c r="M287" s="10"/>
      <c r="N287" s="10"/>
    </row>
    <row r="288" spans="1:18" x14ac:dyDescent="0.25">
      <c r="A288" s="6"/>
      <c r="B288" s="6"/>
      <c r="C288" s="6"/>
      <c r="D288" s="7"/>
      <c r="E288" s="8"/>
      <c r="F288" s="9"/>
      <c r="G288" s="9"/>
      <c r="H288" s="3"/>
      <c r="I288" s="7"/>
      <c r="J288" s="7"/>
      <c r="K288" s="25"/>
      <c r="L288" s="10"/>
      <c r="M288" s="10"/>
      <c r="N288" s="10"/>
      <c r="O288" s="6"/>
      <c r="P288" s="6"/>
      <c r="Q288" s="6"/>
      <c r="R288" s="44"/>
    </row>
    <row r="289" spans="1:18" x14ac:dyDescent="0.25">
      <c r="A289" s="6"/>
      <c r="B289" s="6"/>
      <c r="C289" s="6"/>
      <c r="D289" s="7"/>
      <c r="E289" s="8"/>
      <c r="F289" s="9"/>
      <c r="G289" s="9"/>
      <c r="H289" s="3"/>
      <c r="I289" s="7"/>
      <c r="J289" s="7"/>
      <c r="K289" s="25"/>
      <c r="L289" s="10"/>
      <c r="M289" s="10"/>
      <c r="N289" s="10"/>
      <c r="O289" s="6"/>
      <c r="P289" s="6"/>
      <c r="Q289" s="6"/>
      <c r="R289" s="44"/>
    </row>
    <row r="290" spans="1:18" x14ac:dyDescent="0.25">
      <c r="A290" s="6"/>
      <c r="B290" s="6"/>
      <c r="C290" s="6"/>
      <c r="D290" s="7"/>
      <c r="E290" s="8"/>
      <c r="F290" s="9"/>
      <c r="G290" s="9"/>
      <c r="H290" s="3"/>
      <c r="I290" s="7"/>
      <c r="J290" s="7"/>
      <c r="K290" s="25"/>
      <c r="L290" s="10"/>
      <c r="M290" s="10"/>
      <c r="N290" s="10"/>
      <c r="O290" s="6"/>
      <c r="P290" s="6"/>
      <c r="Q290" s="6"/>
      <c r="R290" s="44"/>
    </row>
    <row r="291" spans="1:18" x14ac:dyDescent="0.25">
      <c r="A291" s="6"/>
      <c r="B291" s="6"/>
      <c r="C291" s="6"/>
      <c r="D291" s="7"/>
      <c r="E291" s="8"/>
      <c r="F291" s="9"/>
      <c r="G291" s="9"/>
      <c r="H291" s="3"/>
      <c r="I291" s="7"/>
      <c r="J291" s="7"/>
      <c r="K291" s="25"/>
      <c r="L291" s="10"/>
      <c r="M291" s="10"/>
      <c r="N291" s="10"/>
      <c r="O291" s="6"/>
      <c r="P291" s="6"/>
      <c r="Q291" s="6"/>
      <c r="R291" s="44"/>
    </row>
    <row r="292" spans="1:18" x14ac:dyDescent="0.25">
      <c r="A292" s="6"/>
      <c r="B292" s="6"/>
      <c r="C292" s="6"/>
      <c r="D292" s="7"/>
      <c r="E292" s="8"/>
      <c r="F292" s="9"/>
      <c r="G292" s="9"/>
      <c r="H292" s="3"/>
      <c r="I292" s="7"/>
      <c r="J292" s="7"/>
      <c r="K292" s="25"/>
      <c r="L292" s="10"/>
      <c r="M292" s="10"/>
      <c r="N292" s="10"/>
      <c r="O292" s="6"/>
      <c r="P292" s="6"/>
      <c r="Q292" s="6"/>
      <c r="R292" s="44"/>
    </row>
    <row r="293" spans="1:18" x14ac:dyDescent="0.25">
      <c r="A293" s="6"/>
      <c r="B293" s="6"/>
      <c r="C293" s="6"/>
      <c r="D293" s="7"/>
      <c r="E293" s="8"/>
      <c r="F293" s="9"/>
      <c r="G293" s="9"/>
      <c r="H293" s="3"/>
      <c r="I293" s="7"/>
      <c r="J293" s="7"/>
      <c r="K293" s="25"/>
      <c r="L293" s="10"/>
      <c r="M293" s="10"/>
      <c r="N293" s="10"/>
      <c r="O293" s="6"/>
      <c r="P293" s="6"/>
      <c r="Q293" s="6"/>
      <c r="R293" s="44"/>
    </row>
    <row r="294" spans="1:18" x14ac:dyDescent="0.25">
      <c r="A294" s="6"/>
      <c r="B294" s="6"/>
      <c r="C294" s="6"/>
      <c r="D294" s="7"/>
      <c r="E294" s="8"/>
      <c r="F294" s="9"/>
      <c r="G294" s="9"/>
      <c r="H294" s="3"/>
      <c r="I294" s="7"/>
      <c r="J294" s="7"/>
      <c r="K294" s="25"/>
      <c r="L294" s="10"/>
      <c r="M294" s="10"/>
      <c r="N294" s="10"/>
      <c r="O294" s="6"/>
      <c r="P294" s="6"/>
      <c r="Q294" s="6"/>
      <c r="R294" s="44"/>
    </row>
    <row r="295" spans="1:18" x14ac:dyDescent="0.25">
      <c r="A295" s="6"/>
      <c r="B295" s="6"/>
      <c r="C295" s="6"/>
      <c r="D295" s="7"/>
      <c r="E295" s="8"/>
      <c r="F295" s="9"/>
      <c r="G295" s="9"/>
      <c r="H295" s="3"/>
      <c r="I295" s="7"/>
      <c r="J295" s="7"/>
      <c r="K295" s="25"/>
      <c r="L295" s="10"/>
      <c r="M295" s="10"/>
      <c r="N295" s="10"/>
      <c r="O295" s="6"/>
      <c r="P295" s="6"/>
      <c r="Q295" s="6"/>
      <c r="R295" s="44"/>
    </row>
    <row r="296" spans="1:18" x14ac:dyDescent="0.25">
      <c r="D296" s="7"/>
      <c r="E296" s="8"/>
      <c r="F296" s="9"/>
      <c r="G296" s="9"/>
      <c r="H296" s="3"/>
      <c r="I296" s="7"/>
      <c r="J296" s="7"/>
      <c r="K296" s="25"/>
      <c r="L296" s="10"/>
      <c r="M296" s="10"/>
      <c r="N296" s="10"/>
    </row>
    <row r="297" spans="1:18" x14ac:dyDescent="0.25">
      <c r="A297" s="6"/>
      <c r="B297" s="6"/>
      <c r="C297" s="6"/>
      <c r="D297" s="7"/>
      <c r="E297" s="8"/>
      <c r="F297" s="9"/>
      <c r="G297" s="9"/>
      <c r="H297" s="3"/>
      <c r="I297" s="7"/>
      <c r="J297" s="7"/>
      <c r="K297" s="25"/>
      <c r="L297" s="10"/>
      <c r="M297" s="10"/>
      <c r="N297" s="10"/>
      <c r="O297" s="6"/>
      <c r="P297" s="6"/>
      <c r="Q297" s="6"/>
      <c r="R297" s="44"/>
    </row>
    <row r="298" spans="1:18" x14ac:dyDescent="0.25">
      <c r="A298" s="6"/>
      <c r="B298" s="6"/>
      <c r="C298" s="6"/>
      <c r="D298" s="7"/>
      <c r="E298" s="8"/>
      <c r="F298" s="9"/>
      <c r="G298" s="9"/>
      <c r="H298" s="3"/>
      <c r="I298" s="7"/>
      <c r="J298" s="7"/>
      <c r="K298" s="25"/>
      <c r="L298" s="10"/>
      <c r="M298" s="10"/>
      <c r="N298" s="10"/>
      <c r="O298" s="6"/>
      <c r="P298" s="6"/>
      <c r="Q298" s="6"/>
      <c r="R298" s="44"/>
    </row>
    <row r="299" spans="1:18" x14ac:dyDescent="0.25">
      <c r="D299" s="7"/>
      <c r="E299" s="8"/>
      <c r="F299" s="9"/>
      <c r="G299" s="9"/>
      <c r="H299" s="3"/>
      <c r="I299" s="7"/>
      <c r="J299" s="7"/>
      <c r="K299" s="25"/>
      <c r="L299" s="10"/>
      <c r="M299" s="10"/>
      <c r="N299" s="10"/>
    </row>
    <row r="300" spans="1:18" x14ac:dyDescent="0.25">
      <c r="A300" s="6"/>
      <c r="B300" s="6"/>
      <c r="C300" s="6"/>
      <c r="D300" s="7"/>
      <c r="E300" s="8"/>
      <c r="F300" s="9"/>
      <c r="G300" s="9"/>
      <c r="H300" s="3"/>
      <c r="I300" s="7"/>
      <c r="J300" s="7"/>
      <c r="K300" s="25"/>
      <c r="L300" s="10"/>
      <c r="M300" s="10"/>
      <c r="N300" s="10"/>
      <c r="O300" s="6"/>
      <c r="P300" s="6"/>
      <c r="Q300" s="6"/>
      <c r="R300" s="44"/>
    </row>
    <row r="301" spans="1:18" x14ac:dyDescent="0.25">
      <c r="A301" s="6"/>
      <c r="B301" s="6"/>
      <c r="C301" s="6"/>
      <c r="D301" s="7"/>
      <c r="E301" s="8"/>
      <c r="F301" s="9"/>
      <c r="G301" s="9"/>
      <c r="H301" s="3"/>
      <c r="I301" s="7"/>
      <c r="J301" s="7"/>
      <c r="K301" s="25"/>
      <c r="L301" s="10"/>
      <c r="M301" s="10"/>
      <c r="N301" s="10"/>
      <c r="O301" s="6"/>
      <c r="P301" s="6"/>
      <c r="Q301" s="6"/>
      <c r="R301" s="44"/>
    </row>
    <row r="302" spans="1:18" x14ac:dyDescent="0.25">
      <c r="A302" s="6"/>
      <c r="B302" s="6"/>
      <c r="C302" s="6"/>
      <c r="D302" s="7"/>
      <c r="E302" s="8"/>
      <c r="F302" s="9"/>
      <c r="G302" s="9"/>
      <c r="H302" s="3"/>
      <c r="I302" s="7"/>
      <c r="J302" s="7"/>
      <c r="K302" s="25"/>
      <c r="L302" s="10"/>
      <c r="M302" s="10"/>
      <c r="N302" s="10"/>
      <c r="O302" s="6"/>
      <c r="P302" s="6"/>
      <c r="Q302" s="6"/>
      <c r="R302" s="44"/>
    </row>
    <row r="303" spans="1:18" x14ac:dyDescent="0.25">
      <c r="A303" s="6"/>
      <c r="B303" s="6"/>
      <c r="C303" s="6"/>
      <c r="D303" s="7"/>
      <c r="E303" s="8"/>
      <c r="F303" s="9"/>
      <c r="G303" s="9"/>
      <c r="H303" s="3"/>
      <c r="I303" s="7"/>
      <c r="J303" s="7"/>
      <c r="K303" s="25"/>
      <c r="L303" s="10"/>
      <c r="M303" s="10"/>
      <c r="N303" s="10"/>
      <c r="O303" s="6"/>
      <c r="P303" s="6"/>
      <c r="Q303" s="6"/>
      <c r="R303" s="44"/>
    </row>
    <row r="304" spans="1:18" x14ac:dyDescent="0.25">
      <c r="A304" s="6"/>
      <c r="B304" s="6"/>
      <c r="C304" s="6"/>
      <c r="D304" s="7"/>
      <c r="E304" s="8"/>
      <c r="F304" s="9"/>
      <c r="G304" s="9"/>
      <c r="H304" s="3"/>
      <c r="I304" s="7"/>
      <c r="J304" s="7"/>
      <c r="K304" s="25"/>
      <c r="L304" s="10"/>
      <c r="M304" s="10"/>
      <c r="N304" s="10"/>
      <c r="O304" s="6"/>
      <c r="P304" s="6"/>
      <c r="Q304" s="6"/>
      <c r="R304" s="44"/>
    </row>
    <row r="305" spans="1:18" x14ac:dyDescent="0.25">
      <c r="A305" s="6"/>
      <c r="B305" s="6"/>
      <c r="C305" s="6"/>
      <c r="D305" s="7"/>
      <c r="E305" s="8"/>
      <c r="F305" s="9"/>
      <c r="G305" s="9"/>
      <c r="H305" s="3"/>
      <c r="I305" s="7"/>
      <c r="J305" s="7"/>
      <c r="K305" s="25"/>
      <c r="L305" s="10"/>
      <c r="M305" s="10"/>
      <c r="N305" s="10"/>
      <c r="O305" s="6"/>
      <c r="P305" s="6"/>
      <c r="Q305" s="6"/>
      <c r="R305" s="44"/>
    </row>
    <row r="306" spans="1:18" x14ac:dyDescent="0.25">
      <c r="A306" s="6"/>
      <c r="B306" s="6"/>
      <c r="C306" s="6"/>
      <c r="D306" s="7"/>
      <c r="E306" s="8"/>
      <c r="F306" s="9"/>
      <c r="G306" s="9"/>
      <c r="H306" s="3"/>
      <c r="I306" s="7"/>
      <c r="J306" s="7"/>
      <c r="K306" s="25"/>
      <c r="L306" s="10"/>
      <c r="M306" s="10"/>
      <c r="N306" s="10"/>
      <c r="O306" s="6"/>
      <c r="P306" s="6"/>
      <c r="Q306" s="6"/>
      <c r="R306" s="44"/>
    </row>
    <row r="307" spans="1:18" x14ac:dyDescent="0.25">
      <c r="A307" s="6"/>
      <c r="B307" s="6"/>
      <c r="C307" s="6"/>
      <c r="D307" s="7"/>
      <c r="E307" s="8"/>
      <c r="F307" s="9"/>
      <c r="G307" s="9"/>
      <c r="H307" s="3"/>
      <c r="I307" s="7"/>
      <c r="J307" s="7"/>
      <c r="K307" s="25"/>
      <c r="L307" s="10"/>
      <c r="M307" s="10"/>
      <c r="N307" s="10"/>
      <c r="O307" s="6"/>
      <c r="P307" s="6"/>
      <c r="Q307" s="6"/>
      <c r="R307" s="44"/>
    </row>
    <row r="308" spans="1:18" x14ac:dyDescent="0.25">
      <c r="A308" s="6"/>
      <c r="B308" s="6"/>
      <c r="C308" s="6"/>
      <c r="D308" s="7"/>
      <c r="E308" s="8"/>
      <c r="F308" s="9"/>
      <c r="G308" s="9"/>
      <c r="H308" s="3"/>
      <c r="I308" s="7"/>
      <c r="J308" s="7"/>
      <c r="K308" s="25"/>
      <c r="L308" s="10"/>
      <c r="M308" s="10"/>
      <c r="N308" s="10"/>
      <c r="O308" s="6"/>
      <c r="P308" s="6"/>
      <c r="Q308" s="6"/>
      <c r="R308" s="44"/>
    </row>
    <row r="309" spans="1:18" x14ac:dyDescent="0.25">
      <c r="A309" s="6"/>
      <c r="B309" s="6"/>
      <c r="C309" s="6"/>
      <c r="D309" s="7"/>
      <c r="E309" s="8"/>
      <c r="F309" s="9"/>
      <c r="G309" s="9"/>
      <c r="H309" s="3"/>
      <c r="I309" s="7"/>
      <c r="J309" s="7"/>
      <c r="K309" s="25"/>
      <c r="L309" s="10"/>
      <c r="M309" s="10"/>
      <c r="N309" s="10"/>
      <c r="O309" s="6"/>
      <c r="P309" s="6"/>
      <c r="Q309" s="6"/>
      <c r="R309" s="44"/>
    </row>
    <row r="310" spans="1:18" x14ac:dyDescent="0.25">
      <c r="D310" s="7"/>
      <c r="E310" s="8"/>
      <c r="F310" s="9"/>
      <c r="G310" s="9"/>
      <c r="H310" s="3"/>
      <c r="I310" s="7"/>
      <c r="J310" s="7"/>
      <c r="K310" s="25"/>
      <c r="L310" s="10"/>
      <c r="M310" s="10"/>
      <c r="N310" s="10"/>
    </row>
    <row r="311" spans="1:18" x14ac:dyDescent="0.25">
      <c r="A311" s="6"/>
      <c r="B311" s="6"/>
      <c r="C311" s="6"/>
      <c r="D311" s="7"/>
      <c r="E311" s="8"/>
      <c r="F311" s="9"/>
      <c r="G311" s="9"/>
      <c r="H311" s="3"/>
      <c r="I311" s="7"/>
      <c r="J311" s="7"/>
      <c r="K311" s="25"/>
      <c r="L311" s="10"/>
      <c r="M311" s="10"/>
      <c r="N311" s="10"/>
      <c r="O311" s="6"/>
      <c r="P311" s="6"/>
      <c r="Q311" s="6"/>
      <c r="R311" s="44"/>
    </row>
    <row r="312" spans="1:18" x14ac:dyDescent="0.25">
      <c r="A312" s="6"/>
      <c r="B312" s="6"/>
      <c r="C312" s="6"/>
      <c r="D312" s="7"/>
      <c r="E312" s="8"/>
      <c r="F312" s="9"/>
      <c r="G312" s="9"/>
      <c r="H312" s="3"/>
      <c r="I312" s="7"/>
      <c r="J312" s="7"/>
      <c r="K312" s="25"/>
      <c r="L312" s="10"/>
      <c r="M312" s="10"/>
      <c r="N312" s="10"/>
      <c r="O312" s="6"/>
      <c r="P312" s="6"/>
      <c r="Q312" s="6"/>
      <c r="R312" s="44"/>
    </row>
    <row r="313" spans="1:18" x14ac:dyDescent="0.25">
      <c r="A313" s="6"/>
      <c r="B313" s="6"/>
      <c r="C313" s="6"/>
      <c r="D313" s="7"/>
      <c r="E313" s="8"/>
      <c r="F313" s="9"/>
      <c r="G313" s="9"/>
      <c r="H313" s="3"/>
      <c r="I313" s="7"/>
      <c r="J313" s="7"/>
      <c r="K313" s="25"/>
      <c r="L313" s="10"/>
      <c r="M313" s="10"/>
      <c r="N313" s="10"/>
      <c r="O313" s="6"/>
      <c r="P313" s="6"/>
      <c r="Q313" s="6"/>
      <c r="R313" s="44"/>
    </row>
    <row r="314" spans="1:18" x14ac:dyDescent="0.25">
      <c r="A314" s="6"/>
      <c r="B314" s="6"/>
      <c r="C314" s="6"/>
      <c r="D314" s="7"/>
      <c r="E314" s="8"/>
      <c r="F314" s="9"/>
      <c r="G314" s="9"/>
      <c r="H314" s="3"/>
      <c r="I314" s="7"/>
      <c r="J314" s="7"/>
      <c r="K314" s="25"/>
      <c r="L314" s="10"/>
      <c r="M314" s="10"/>
      <c r="N314" s="10"/>
      <c r="O314" s="6"/>
      <c r="P314" s="6"/>
      <c r="Q314" s="6"/>
      <c r="R314" s="44"/>
    </row>
    <row r="315" spans="1:18" x14ac:dyDescent="0.25">
      <c r="A315" s="6"/>
      <c r="B315" s="6"/>
      <c r="C315" s="6"/>
      <c r="D315" s="7"/>
      <c r="E315" s="8"/>
      <c r="F315" s="9"/>
      <c r="G315" s="9"/>
      <c r="H315" s="3"/>
      <c r="I315" s="7"/>
      <c r="J315" s="7"/>
      <c r="K315" s="25"/>
      <c r="L315" s="10"/>
      <c r="M315" s="10"/>
      <c r="N315" s="10"/>
      <c r="O315" s="6"/>
      <c r="P315" s="6"/>
      <c r="Q315" s="6"/>
      <c r="R315" s="44"/>
    </row>
    <row r="316" spans="1:18" x14ac:dyDescent="0.25">
      <c r="A316" s="6"/>
      <c r="B316" s="6"/>
      <c r="C316" s="6"/>
      <c r="D316" s="7"/>
      <c r="E316" s="8"/>
      <c r="F316" s="9"/>
      <c r="G316" s="9"/>
      <c r="H316" s="3"/>
      <c r="I316" s="7"/>
      <c r="J316" s="7"/>
      <c r="K316" s="25"/>
      <c r="L316" s="10"/>
      <c r="M316" s="10"/>
      <c r="N316" s="10"/>
      <c r="O316" s="6"/>
      <c r="P316" s="6"/>
      <c r="Q316" s="6"/>
      <c r="R316" s="44"/>
    </row>
    <row r="317" spans="1:18" x14ac:dyDescent="0.25">
      <c r="D317" s="7"/>
      <c r="E317" s="8"/>
      <c r="F317" s="9"/>
      <c r="G317" s="9"/>
      <c r="H317" s="3"/>
      <c r="I317" s="7"/>
      <c r="J317" s="7"/>
      <c r="K317" s="25"/>
      <c r="L317" s="10"/>
      <c r="M317" s="10"/>
      <c r="N317" s="10"/>
    </row>
    <row r="318" spans="1:18" x14ac:dyDescent="0.25">
      <c r="A318" s="6"/>
      <c r="B318" s="6"/>
      <c r="C318" s="6"/>
      <c r="D318" s="7"/>
      <c r="E318" s="8"/>
      <c r="F318" s="9"/>
      <c r="G318" s="9"/>
      <c r="H318" s="3"/>
      <c r="I318" s="7"/>
      <c r="J318" s="7"/>
      <c r="K318" s="25"/>
      <c r="L318" s="10"/>
      <c r="M318" s="10"/>
      <c r="N318" s="10"/>
      <c r="O318" s="6"/>
      <c r="P318" s="6"/>
      <c r="Q318" s="6"/>
      <c r="R318" s="44"/>
    </row>
    <row r="319" spans="1:18" x14ac:dyDescent="0.25">
      <c r="A319" s="6"/>
      <c r="B319" s="6"/>
      <c r="C319" s="6"/>
      <c r="D319" s="7"/>
      <c r="E319" s="8"/>
      <c r="F319" s="9"/>
      <c r="G319" s="9"/>
      <c r="H319" s="3"/>
      <c r="I319" s="7"/>
      <c r="J319" s="7"/>
      <c r="K319" s="25"/>
      <c r="L319" s="10"/>
      <c r="M319" s="10"/>
      <c r="N319" s="10"/>
      <c r="O319" s="6"/>
      <c r="P319" s="6"/>
      <c r="Q319" s="6"/>
      <c r="R319" s="44"/>
    </row>
    <row r="320" spans="1:18" x14ac:dyDescent="0.25">
      <c r="A320" s="6"/>
      <c r="B320" s="6"/>
      <c r="C320" s="6"/>
      <c r="D320" s="7"/>
      <c r="E320" s="8"/>
      <c r="F320" s="9"/>
      <c r="G320" s="9"/>
      <c r="H320" s="3"/>
      <c r="I320" s="7"/>
      <c r="J320" s="7"/>
      <c r="K320" s="25"/>
      <c r="L320" s="10"/>
      <c r="M320" s="10"/>
      <c r="N320" s="10"/>
      <c r="O320" s="6"/>
      <c r="P320" s="6"/>
      <c r="Q320" s="6"/>
      <c r="R320" s="44"/>
    </row>
    <row r="321" spans="1:18" x14ac:dyDescent="0.25">
      <c r="A321" s="6"/>
      <c r="B321" s="6"/>
      <c r="C321" s="6"/>
      <c r="D321" s="7"/>
      <c r="E321" s="8"/>
      <c r="F321" s="9"/>
      <c r="G321" s="9"/>
      <c r="H321" s="3"/>
      <c r="I321" s="7"/>
      <c r="J321" s="7"/>
      <c r="K321" s="25"/>
      <c r="L321" s="10"/>
      <c r="M321" s="10"/>
      <c r="N321" s="10"/>
      <c r="O321" s="6"/>
      <c r="P321" s="6"/>
      <c r="Q321" s="6"/>
      <c r="R321" s="44"/>
    </row>
    <row r="322" spans="1:18" x14ac:dyDescent="0.25">
      <c r="A322" s="6"/>
      <c r="B322" s="6"/>
      <c r="C322" s="6"/>
      <c r="D322" s="7"/>
      <c r="E322" s="8"/>
      <c r="F322" s="9"/>
      <c r="G322" s="9"/>
      <c r="H322" s="3"/>
      <c r="I322" s="7"/>
      <c r="J322" s="7"/>
      <c r="K322" s="25"/>
      <c r="L322" s="10"/>
      <c r="M322" s="10"/>
      <c r="N322" s="10"/>
      <c r="O322" s="6"/>
      <c r="P322" s="6"/>
      <c r="Q322" s="6"/>
      <c r="R322" s="44"/>
    </row>
    <row r="323" spans="1:18" x14ac:dyDescent="0.25">
      <c r="A323" s="6"/>
      <c r="B323" s="6"/>
      <c r="C323" s="6"/>
      <c r="D323" s="7"/>
      <c r="E323" s="8"/>
      <c r="F323" s="9"/>
      <c r="G323" s="9"/>
      <c r="H323" s="3"/>
      <c r="I323" s="7"/>
      <c r="J323" s="7"/>
      <c r="K323" s="25"/>
      <c r="L323" s="10"/>
      <c r="M323" s="10"/>
      <c r="N323" s="10"/>
      <c r="O323" s="6"/>
      <c r="P323" s="6"/>
      <c r="Q323" s="6"/>
      <c r="R323" s="44"/>
    </row>
    <row r="324" spans="1:18" x14ac:dyDescent="0.25">
      <c r="A324" s="6"/>
      <c r="B324" s="6"/>
      <c r="C324" s="6"/>
      <c r="D324" s="7"/>
      <c r="E324" s="8"/>
      <c r="F324" s="9"/>
      <c r="G324" s="9"/>
      <c r="H324" s="3"/>
      <c r="I324" s="7"/>
      <c r="J324" s="7"/>
      <c r="K324" s="25"/>
      <c r="L324" s="10"/>
      <c r="M324" s="10"/>
      <c r="N324" s="10"/>
      <c r="O324" s="6"/>
      <c r="P324" s="6"/>
      <c r="Q324" s="6"/>
      <c r="R324" s="44"/>
    </row>
    <row r="325" spans="1:18" x14ac:dyDescent="0.25">
      <c r="D325" s="7"/>
      <c r="E325" s="8"/>
      <c r="F325" s="9"/>
      <c r="G325" s="9"/>
      <c r="H325" s="3"/>
      <c r="I325" s="7"/>
      <c r="J325" s="7"/>
      <c r="K325" s="25"/>
      <c r="L325" s="10"/>
      <c r="M325" s="10"/>
      <c r="N325" s="10"/>
    </row>
    <row r="326" spans="1:18" x14ac:dyDescent="0.25">
      <c r="A326" s="6"/>
      <c r="B326" s="6"/>
      <c r="C326" s="6"/>
      <c r="D326" s="7"/>
      <c r="E326" s="8"/>
      <c r="F326" s="9"/>
      <c r="G326" s="9"/>
      <c r="H326" s="3"/>
      <c r="I326" s="7"/>
      <c r="J326" s="7"/>
      <c r="K326" s="25"/>
      <c r="L326" s="10"/>
      <c r="M326" s="10"/>
      <c r="N326" s="10"/>
      <c r="O326" s="6"/>
      <c r="P326" s="6"/>
      <c r="Q326" s="6"/>
      <c r="R326" s="44"/>
    </row>
    <row r="327" spans="1:18" x14ac:dyDescent="0.25">
      <c r="A327" s="6"/>
      <c r="B327" s="6"/>
      <c r="C327" s="6"/>
      <c r="D327" s="7"/>
      <c r="E327" s="8"/>
      <c r="F327" s="9"/>
      <c r="G327" s="9"/>
      <c r="H327" s="3"/>
      <c r="I327" s="7"/>
      <c r="J327" s="7"/>
      <c r="K327" s="25"/>
      <c r="L327" s="10"/>
      <c r="M327" s="10"/>
      <c r="N327" s="10"/>
      <c r="O327" s="6"/>
      <c r="P327" s="6"/>
      <c r="Q327" s="6"/>
      <c r="R327" s="44"/>
    </row>
    <row r="328" spans="1:18" x14ac:dyDescent="0.25">
      <c r="A328" s="6"/>
      <c r="B328" s="6"/>
      <c r="C328" s="6"/>
      <c r="D328" s="7"/>
      <c r="E328" s="8"/>
      <c r="F328" s="9"/>
      <c r="G328" s="9"/>
      <c r="H328" s="3"/>
      <c r="I328" s="7"/>
      <c r="J328" s="7"/>
      <c r="K328" s="25"/>
      <c r="L328" s="10"/>
      <c r="M328" s="10"/>
      <c r="N328" s="10"/>
      <c r="O328" s="6"/>
      <c r="P328" s="6"/>
      <c r="Q328" s="6"/>
      <c r="R328" s="44"/>
    </row>
    <row r="329" spans="1:18" x14ac:dyDescent="0.25">
      <c r="A329" s="6"/>
      <c r="B329" s="6"/>
      <c r="C329" s="6"/>
      <c r="D329" s="7"/>
      <c r="E329" s="8"/>
      <c r="F329" s="9"/>
      <c r="G329" s="9"/>
      <c r="H329" s="3"/>
      <c r="I329" s="7"/>
      <c r="J329" s="7"/>
      <c r="K329" s="25"/>
      <c r="L329" s="10"/>
      <c r="M329" s="10"/>
      <c r="N329" s="10"/>
      <c r="O329" s="6"/>
      <c r="P329" s="6"/>
      <c r="Q329" s="6"/>
      <c r="R329" s="44"/>
    </row>
    <row r="330" spans="1:18" x14ac:dyDescent="0.25">
      <c r="A330" s="6"/>
      <c r="B330" s="6"/>
      <c r="C330" s="6"/>
      <c r="D330" s="7"/>
      <c r="E330" s="8"/>
      <c r="F330" s="9"/>
      <c r="G330" s="9"/>
      <c r="H330" s="3"/>
      <c r="I330" s="7"/>
      <c r="J330" s="7"/>
      <c r="K330" s="25"/>
      <c r="L330" s="10"/>
      <c r="M330" s="10"/>
      <c r="N330" s="10"/>
      <c r="O330" s="6"/>
      <c r="P330" s="6"/>
      <c r="Q330" s="6"/>
      <c r="R330" s="44"/>
    </row>
    <row r="331" spans="1:18" x14ac:dyDescent="0.25">
      <c r="A331" s="6"/>
      <c r="B331" s="6"/>
      <c r="C331" s="6"/>
      <c r="D331" s="7"/>
      <c r="E331" s="8"/>
      <c r="F331" s="9"/>
      <c r="G331" s="9"/>
      <c r="H331" s="3"/>
      <c r="I331" s="7"/>
      <c r="J331" s="7"/>
      <c r="K331" s="25"/>
      <c r="L331" s="10"/>
      <c r="M331" s="10"/>
      <c r="N331" s="10"/>
      <c r="O331" s="6"/>
      <c r="P331" s="6"/>
      <c r="Q331" s="6"/>
      <c r="R331" s="44"/>
    </row>
    <row r="332" spans="1:18" x14ac:dyDescent="0.25">
      <c r="A332" s="6"/>
      <c r="B332" s="6"/>
      <c r="C332" s="6"/>
      <c r="D332" s="7"/>
      <c r="E332" s="8"/>
      <c r="F332" s="9"/>
      <c r="G332" s="9"/>
      <c r="H332" s="3"/>
      <c r="I332" s="7"/>
      <c r="J332" s="7"/>
      <c r="K332" s="25"/>
      <c r="L332" s="10"/>
      <c r="M332" s="10"/>
      <c r="N332" s="10"/>
      <c r="O332" s="6"/>
      <c r="P332" s="6"/>
      <c r="Q332" s="6"/>
      <c r="R332" s="44"/>
    </row>
    <row r="333" spans="1:18" x14ac:dyDescent="0.25">
      <c r="A333" s="6"/>
      <c r="B333" s="6"/>
      <c r="C333" s="6"/>
      <c r="D333" s="7"/>
      <c r="E333" s="8"/>
      <c r="F333" s="9"/>
      <c r="G333" s="9"/>
      <c r="H333" s="3"/>
      <c r="I333" s="7"/>
      <c r="J333" s="7"/>
      <c r="K333" s="25"/>
      <c r="L333" s="10"/>
      <c r="M333" s="10"/>
      <c r="N333" s="10"/>
      <c r="O333" s="6"/>
      <c r="P333" s="6"/>
      <c r="Q333" s="6"/>
      <c r="R333" s="44"/>
    </row>
    <row r="334" spans="1:18" x14ac:dyDescent="0.25">
      <c r="D334" s="7"/>
      <c r="E334" s="8"/>
      <c r="F334" s="9"/>
      <c r="G334" s="9"/>
      <c r="H334" s="3"/>
      <c r="I334" s="7"/>
      <c r="J334" s="7"/>
      <c r="K334" s="25"/>
      <c r="L334" s="10"/>
      <c r="M334" s="10"/>
      <c r="N334" s="10"/>
    </row>
    <row r="335" spans="1:18" x14ac:dyDescent="0.25">
      <c r="A335" s="6"/>
      <c r="B335" s="6"/>
      <c r="C335" s="6"/>
      <c r="D335" s="7"/>
      <c r="E335" s="8"/>
      <c r="F335" s="9"/>
      <c r="G335" s="9"/>
      <c r="H335" s="3"/>
      <c r="I335" s="7"/>
      <c r="J335" s="7"/>
      <c r="K335" s="25"/>
      <c r="L335" s="10"/>
      <c r="M335" s="10"/>
      <c r="N335" s="10"/>
      <c r="O335" s="6"/>
      <c r="P335" s="6"/>
      <c r="Q335" s="6"/>
      <c r="R335" s="44"/>
    </row>
    <row r="336" spans="1:18" x14ac:dyDescent="0.25">
      <c r="D336" s="7"/>
      <c r="E336" s="8"/>
      <c r="F336" s="9"/>
      <c r="G336" s="9"/>
      <c r="H336" s="3"/>
      <c r="I336" s="7"/>
      <c r="J336" s="7"/>
      <c r="K336" s="25"/>
      <c r="L336" s="10"/>
      <c r="M336" s="10"/>
      <c r="N336" s="10"/>
    </row>
    <row r="337" spans="1:18" x14ac:dyDescent="0.25">
      <c r="A337" s="6"/>
      <c r="B337" s="6"/>
      <c r="C337" s="6"/>
      <c r="D337" s="7"/>
      <c r="E337" s="8"/>
      <c r="F337" s="9"/>
      <c r="G337" s="9"/>
      <c r="H337" s="3"/>
      <c r="I337" s="7"/>
      <c r="J337" s="7"/>
      <c r="K337" s="25"/>
      <c r="L337" s="10"/>
      <c r="M337" s="10"/>
      <c r="N337" s="10"/>
      <c r="O337" s="6"/>
      <c r="P337" s="6"/>
      <c r="Q337" s="6"/>
      <c r="R337" s="44"/>
    </row>
    <row r="338" spans="1:18" x14ac:dyDescent="0.25">
      <c r="A338" s="6"/>
      <c r="B338" s="6"/>
      <c r="C338" s="6"/>
      <c r="D338" s="7"/>
      <c r="E338" s="8"/>
      <c r="F338" s="9"/>
      <c r="G338" s="9"/>
      <c r="H338" s="3"/>
      <c r="I338" s="7"/>
      <c r="J338" s="7"/>
      <c r="K338" s="25"/>
      <c r="L338" s="10"/>
      <c r="M338" s="10"/>
      <c r="N338" s="10"/>
      <c r="O338" s="6"/>
      <c r="P338" s="6"/>
      <c r="Q338" s="6"/>
      <c r="R338" s="44"/>
    </row>
    <row r="339" spans="1:18" x14ac:dyDescent="0.25">
      <c r="A339" s="6"/>
      <c r="B339" s="6"/>
      <c r="C339" s="6"/>
      <c r="D339" s="7"/>
      <c r="E339" s="8"/>
      <c r="F339" s="9"/>
      <c r="G339" s="9"/>
      <c r="H339" s="3"/>
      <c r="I339" s="7"/>
      <c r="J339" s="7"/>
      <c r="K339" s="25"/>
      <c r="L339" s="10"/>
      <c r="M339" s="10"/>
      <c r="N339" s="10"/>
      <c r="O339" s="6"/>
      <c r="P339" s="6"/>
      <c r="Q339" s="6"/>
      <c r="R339" s="44"/>
    </row>
    <row r="340" spans="1:18" x14ac:dyDescent="0.25">
      <c r="A340" s="6"/>
      <c r="B340" s="6"/>
      <c r="C340" s="6"/>
      <c r="D340" s="7"/>
      <c r="E340" s="8"/>
      <c r="F340" s="9"/>
      <c r="G340" s="9"/>
      <c r="H340" s="3"/>
      <c r="I340" s="7"/>
      <c r="J340" s="7"/>
      <c r="K340" s="25"/>
      <c r="L340" s="10"/>
      <c r="M340" s="10"/>
      <c r="N340" s="10"/>
      <c r="O340" s="6"/>
      <c r="P340" s="6"/>
      <c r="Q340" s="6"/>
      <c r="R340" s="44"/>
    </row>
    <row r="341" spans="1:18" x14ac:dyDescent="0.25">
      <c r="A341" s="6"/>
      <c r="B341" s="6"/>
      <c r="C341" s="6"/>
      <c r="D341" s="7"/>
      <c r="E341" s="8"/>
      <c r="F341" s="9"/>
      <c r="G341" s="9"/>
      <c r="H341" s="3"/>
      <c r="I341" s="7"/>
      <c r="J341" s="7"/>
      <c r="K341" s="25"/>
      <c r="L341" s="10"/>
      <c r="M341" s="10"/>
      <c r="N341" s="10"/>
      <c r="O341" s="6"/>
      <c r="P341" s="6"/>
      <c r="Q341" s="6"/>
      <c r="R341" s="44"/>
    </row>
    <row r="342" spans="1:18" x14ac:dyDescent="0.25">
      <c r="A342" s="6"/>
      <c r="B342" s="6"/>
      <c r="C342" s="6"/>
      <c r="D342" s="7"/>
      <c r="E342" s="8"/>
      <c r="F342" s="9"/>
      <c r="G342" s="9"/>
      <c r="H342" s="3"/>
      <c r="I342" s="7"/>
      <c r="J342" s="7"/>
      <c r="K342" s="25"/>
      <c r="L342" s="10"/>
      <c r="M342" s="10"/>
      <c r="N342" s="10"/>
      <c r="O342" s="6"/>
      <c r="P342" s="6"/>
      <c r="Q342" s="6"/>
      <c r="R342" s="44"/>
    </row>
    <row r="343" spans="1:18" x14ac:dyDescent="0.25">
      <c r="A343" s="6"/>
      <c r="B343" s="6"/>
      <c r="C343" s="6"/>
      <c r="D343" s="7"/>
      <c r="E343" s="8"/>
      <c r="F343" s="9"/>
      <c r="G343" s="9"/>
      <c r="H343" s="3"/>
      <c r="I343" s="7"/>
      <c r="J343" s="7"/>
      <c r="K343" s="25"/>
      <c r="L343" s="10"/>
      <c r="M343" s="10"/>
      <c r="N343" s="10"/>
      <c r="O343" s="6"/>
      <c r="P343" s="6"/>
      <c r="Q343" s="6"/>
      <c r="R343" s="44"/>
    </row>
    <row r="344" spans="1:18" x14ac:dyDescent="0.25">
      <c r="A344" s="6"/>
      <c r="B344" s="6"/>
      <c r="C344" s="6"/>
      <c r="D344" s="7"/>
      <c r="E344" s="8"/>
      <c r="F344" s="9"/>
      <c r="G344" s="9"/>
      <c r="H344" s="3"/>
      <c r="I344" s="7"/>
      <c r="J344" s="7"/>
      <c r="K344" s="25"/>
      <c r="L344" s="10"/>
      <c r="M344" s="10"/>
      <c r="N344" s="10"/>
      <c r="O344" s="6"/>
      <c r="P344" s="6"/>
      <c r="Q344" s="6"/>
      <c r="R344" s="44"/>
    </row>
    <row r="345" spans="1:18" x14ac:dyDescent="0.25">
      <c r="A345" s="6"/>
      <c r="B345" s="6"/>
      <c r="C345" s="6"/>
      <c r="D345" s="7"/>
      <c r="E345" s="8"/>
      <c r="F345" s="9"/>
      <c r="G345" s="9"/>
      <c r="H345" s="3"/>
      <c r="I345" s="7"/>
      <c r="J345" s="7"/>
      <c r="K345" s="25"/>
      <c r="L345" s="10"/>
      <c r="M345" s="10"/>
      <c r="N345" s="10"/>
      <c r="O345" s="6"/>
      <c r="P345" s="6"/>
      <c r="Q345" s="6"/>
      <c r="R345" s="44"/>
    </row>
    <row r="346" spans="1:18" x14ac:dyDescent="0.25">
      <c r="A346" s="6"/>
      <c r="B346" s="6"/>
      <c r="C346" s="6"/>
      <c r="D346" s="7"/>
      <c r="E346" s="8"/>
      <c r="F346" s="9"/>
      <c r="G346" s="9"/>
      <c r="H346" s="3"/>
      <c r="I346" s="7"/>
      <c r="J346" s="7"/>
      <c r="K346" s="25"/>
      <c r="L346" s="10"/>
      <c r="M346" s="10"/>
      <c r="N346" s="10"/>
      <c r="O346" s="6"/>
      <c r="P346" s="6"/>
      <c r="Q346" s="6"/>
      <c r="R346" s="44"/>
    </row>
    <row r="347" spans="1:18" x14ac:dyDescent="0.25">
      <c r="D347" s="7"/>
      <c r="E347" s="8"/>
      <c r="F347" s="9"/>
      <c r="G347" s="9"/>
      <c r="H347" s="3"/>
      <c r="I347" s="7"/>
      <c r="J347" s="7"/>
      <c r="K347" s="25"/>
      <c r="L347" s="10"/>
      <c r="M347" s="10"/>
      <c r="N347" s="10"/>
    </row>
    <row r="348" spans="1:18" x14ac:dyDescent="0.25">
      <c r="A348" s="6"/>
      <c r="B348" s="6"/>
      <c r="C348" s="6"/>
      <c r="D348" s="7"/>
      <c r="E348" s="8"/>
      <c r="F348" s="9"/>
      <c r="G348" s="9"/>
      <c r="H348" s="3"/>
      <c r="I348" s="7"/>
      <c r="J348" s="7"/>
      <c r="K348" s="25"/>
      <c r="L348" s="10"/>
      <c r="M348" s="10"/>
      <c r="N348" s="10"/>
      <c r="O348" s="6"/>
      <c r="P348" s="6"/>
      <c r="Q348" s="6"/>
      <c r="R348" s="44"/>
    </row>
    <row r="349" spans="1:18" x14ac:dyDescent="0.25">
      <c r="A349" s="6"/>
      <c r="B349" s="6"/>
      <c r="C349" s="6"/>
      <c r="D349" s="7"/>
      <c r="E349" s="8"/>
      <c r="F349" s="9"/>
      <c r="G349" s="9"/>
      <c r="H349" s="3"/>
      <c r="I349" s="7"/>
      <c r="J349" s="7"/>
      <c r="K349" s="25"/>
      <c r="L349" s="10"/>
      <c r="M349" s="10"/>
      <c r="N349" s="10"/>
      <c r="O349" s="6"/>
      <c r="P349" s="6"/>
      <c r="Q349" s="6"/>
      <c r="R349" s="44"/>
    </row>
    <row r="350" spans="1:18" x14ac:dyDescent="0.25">
      <c r="D350" s="7"/>
      <c r="E350" s="8"/>
      <c r="F350" s="9"/>
      <c r="G350" s="9"/>
      <c r="H350" s="3"/>
      <c r="I350" s="7"/>
      <c r="J350" s="7"/>
      <c r="K350" s="25"/>
      <c r="L350" s="10"/>
      <c r="M350" s="10"/>
      <c r="N350" s="10"/>
    </row>
    <row r="351" spans="1:18" x14ac:dyDescent="0.25">
      <c r="A351" s="6"/>
      <c r="B351" s="6"/>
      <c r="C351" s="6"/>
      <c r="D351" s="7"/>
      <c r="E351" s="8"/>
      <c r="F351" s="9"/>
      <c r="G351" s="9"/>
      <c r="H351" s="3"/>
      <c r="I351" s="7"/>
      <c r="J351" s="7"/>
      <c r="K351" s="25"/>
      <c r="L351" s="10"/>
      <c r="M351" s="10"/>
      <c r="N351" s="10"/>
      <c r="O351" s="6"/>
      <c r="P351" s="6"/>
      <c r="Q351" s="6"/>
      <c r="R351" s="44"/>
    </row>
    <row r="352" spans="1:18" x14ac:dyDescent="0.25">
      <c r="A352" s="6"/>
      <c r="B352" s="6"/>
      <c r="C352" s="6"/>
      <c r="D352" s="7"/>
      <c r="E352" s="8"/>
      <c r="F352" s="9"/>
      <c r="G352" s="9"/>
      <c r="H352" s="3"/>
      <c r="I352" s="7"/>
      <c r="J352" s="7"/>
      <c r="K352" s="25"/>
      <c r="L352" s="10"/>
      <c r="M352" s="10"/>
      <c r="N352" s="10"/>
      <c r="O352" s="6"/>
      <c r="P352" s="6"/>
      <c r="Q352" s="6"/>
      <c r="R352" s="44"/>
    </row>
    <row r="353" spans="1:18" x14ac:dyDescent="0.25">
      <c r="A353" s="6"/>
      <c r="B353" s="6"/>
      <c r="C353" s="6"/>
      <c r="D353" s="7"/>
      <c r="E353" s="8"/>
      <c r="F353" s="9"/>
      <c r="G353" s="9"/>
      <c r="H353" s="3"/>
      <c r="I353" s="7"/>
      <c r="J353" s="7"/>
      <c r="K353" s="25"/>
      <c r="L353" s="10"/>
      <c r="M353" s="10"/>
      <c r="N353" s="10"/>
      <c r="O353" s="6"/>
      <c r="P353" s="6"/>
      <c r="Q353" s="6"/>
      <c r="R353" s="44"/>
    </row>
    <row r="354" spans="1:18" x14ac:dyDescent="0.25">
      <c r="A354" s="6"/>
      <c r="B354" s="6"/>
      <c r="C354" s="6"/>
      <c r="D354" s="7"/>
      <c r="E354" s="8"/>
      <c r="F354" s="9"/>
      <c r="G354" s="9"/>
      <c r="H354" s="3"/>
      <c r="I354" s="7"/>
      <c r="J354" s="7"/>
      <c r="K354" s="25"/>
      <c r="L354" s="10"/>
      <c r="M354" s="10"/>
      <c r="N354" s="10"/>
      <c r="O354" s="6"/>
      <c r="P354" s="6"/>
      <c r="Q354" s="6"/>
      <c r="R354" s="44"/>
    </row>
    <row r="355" spans="1:18" x14ac:dyDescent="0.25">
      <c r="A355" s="6"/>
      <c r="B355" s="6"/>
      <c r="C355" s="6"/>
      <c r="D355" s="7"/>
      <c r="E355" s="8"/>
      <c r="F355" s="9"/>
      <c r="G355" s="9"/>
      <c r="H355" s="3"/>
      <c r="I355" s="7"/>
      <c r="J355" s="7"/>
      <c r="K355" s="25"/>
      <c r="L355" s="10"/>
      <c r="M355" s="10"/>
      <c r="N355" s="10"/>
      <c r="O355" s="6"/>
      <c r="P355" s="6"/>
      <c r="Q355" s="6"/>
      <c r="R355" s="44"/>
    </row>
    <row r="356" spans="1:18" x14ac:dyDescent="0.25">
      <c r="D356" s="7"/>
      <c r="E356" s="8"/>
      <c r="F356" s="9"/>
      <c r="G356" s="9"/>
      <c r="H356" s="3"/>
      <c r="I356" s="7"/>
      <c r="J356" s="7"/>
      <c r="K356" s="25"/>
      <c r="L356" s="10"/>
      <c r="M356" s="10"/>
      <c r="N356" s="10"/>
    </row>
    <row r="357" spans="1:18" x14ac:dyDescent="0.25">
      <c r="D357" s="7"/>
      <c r="E357" s="8"/>
      <c r="F357" s="9"/>
      <c r="G357" s="9"/>
      <c r="H357" s="3"/>
      <c r="I357" s="7"/>
      <c r="J357" s="7"/>
      <c r="K357" s="25"/>
      <c r="L357" s="10"/>
      <c r="M357" s="10"/>
      <c r="N357" s="10"/>
    </row>
    <row r="358" spans="1:18" x14ac:dyDescent="0.25">
      <c r="A358" s="6"/>
      <c r="B358" s="6"/>
      <c r="C358" s="6"/>
      <c r="D358" s="7"/>
      <c r="E358" s="8"/>
      <c r="F358" s="9"/>
      <c r="G358" s="9"/>
      <c r="H358" s="3"/>
      <c r="I358" s="7"/>
      <c r="J358" s="7"/>
      <c r="K358" s="25"/>
      <c r="L358" s="10"/>
      <c r="M358" s="10"/>
      <c r="N358" s="10"/>
      <c r="O358" s="6"/>
      <c r="P358" s="6"/>
      <c r="Q358" s="6"/>
      <c r="R358" s="44"/>
    </row>
    <row r="359" spans="1:18" x14ac:dyDescent="0.25">
      <c r="A359" s="6"/>
      <c r="B359" s="6"/>
      <c r="C359" s="6"/>
      <c r="D359" s="7"/>
      <c r="E359" s="8"/>
      <c r="F359" s="9"/>
      <c r="G359" s="9"/>
      <c r="H359" s="3"/>
      <c r="I359" s="7"/>
      <c r="J359" s="7"/>
      <c r="K359" s="25"/>
      <c r="L359" s="10"/>
      <c r="M359" s="10"/>
      <c r="N359" s="10"/>
      <c r="O359" s="6"/>
      <c r="P359" s="6"/>
      <c r="Q359" s="6"/>
      <c r="R359" s="44"/>
    </row>
    <row r="360" spans="1:18" x14ac:dyDescent="0.25">
      <c r="A360" s="6"/>
      <c r="B360" s="6"/>
      <c r="C360" s="6"/>
      <c r="D360" s="7"/>
      <c r="E360" s="8"/>
      <c r="F360" s="9"/>
      <c r="G360" s="9"/>
      <c r="H360" s="3"/>
      <c r="I360" s="7"/>
      <c r="J360" s="7"/>
      <c r="K360" s="25"/>
      <c r="L360" s="10"/>
      <c r="M360" s="10"/>
      <c r="N360" s="10"/>
      <c r="O360" s="6"/>
      <c r="P360" s="6"/>
      <c r="Q360" s="6"/>
      <c r="R360" s="44"/>
    </row>
    <row r="361" spans="1:18" x14ac:dyDescent="0.25">
      <c r="A361" s="6"/>
      <c r="B361" s="6"/>
      <c r="C361" s="6"/>
      <c r="D361" s="7"/>
      <c r="E361" s="8"/>
      <c r="F361" s="9"/>
      <c r="G361" s="9"/>
      <c r="H361" s="3"/>
      <c r="I361" s="7"/>
      <c r="J361" s="7"/>
      <c r="K361" s="25"/>
      <c r="L361" s="10"/>
      <c r="M361" s="10"/>
      <c r="N361" s="10"/>
      <c r="O361" s="6"/>
      <c r="P361" s="6"/>
      <c r="Q361" s="6"/>
      <c r="R361" s="44"/>
    </row>
    <row r="362" spans="1:18" x14ac:dyDescent="0.25">
      <c r="D362" s="7"/>
      <c r="E362" s="8"/>
      <c r="F362" s="9"/>
      <c r="G362" s="9"/>
      <c r="H362" s="3"/>
      <c r="I362" s="7"/>
      <c r="J362" s="7"/>
      <c r="K362" s="25"/>
      <c r="L362" s="10"/>
      <c r="M362" s="10"/>
      <c r="N362" s="10"/>
    </row>
    <row r="363" spans="1:18" x14ac:dyDescent="0.25">
      <c r="A363" s="6"/>
      <c r="B363" s="6"/>
      <c r="C363" s="6"/>
      <c r="D363" s="7"/>
      <c r="E363" s="8"/>
      <c r="F363" s="9"/>
      <c r="G363" s="9"/>
      <c r="H363" s="3"/>
      <c r="I363" s="7"/>
      <c r="J363" s="7"/>
      <c r="K363" s="25"/>
      <c r="L363" s="10"/>
      <c r="M363" s="10"/>
      <c r="N363" s="10"/>
      <c r="O363" s="6"/>
      <c r="P363" s="6"/>
      <c r="Q363" s="6"/>
      <c r="R363" s="44"/>
    </row>
    <row r="364" spans="1:18" x14ac:dyDescent="0.25">
      <c r="A364" s="6"/>
      <c r="B364" s="6"/>
      <c r="C364" s="6"/>
      <c r="D364" s="7"/>
      <c r="E364" s="8"/>
      <c r="F364" s="9"/>
      <c r="G364" s="9"/>
      <c r="H364" s="3"/>
      <c r="I364" s="7"/>
      <c r="J364" s="7"/>
      <c r="K364" s="25"/>
      <c r="L364" s="10"/>
      <c r="M364" s="10"/>
      <c r="N364" s="10"/>
      <c r="O364" s="6"/>
      <c r="P364" s="6"/>
      <c r="Q364" s="6"/>
      <c r="R364" s="44"/>
    </row>
    <row r="365" spans="1:18" x14ac:dyDescent="0.25">
      <c r="A365" s="6"/>
      <c r="B365" s="6"/>
      <c r="C365" s="6"/>
      <c r="D365" s="7"/>
      <c r="E365" s="8"/>
      <c r="F365" s="9"/>
      <c r="G365" s="9"/>
      <c r="H365" s="3"/>
      <c r="I365" s="7"/>
      <c r="J365" s="7"/>
      <c r="K365" s="25"/>
      <c r="L365" s="10"/>
      <c r="M365" s="10"/>
      <c r="N365" s="10"/>
      <c r="O365" s="6"/>
      <c r="P365" s="6"/>
      <c r="Q365" s="6"/>
      <c r="R365" s="44"/>
    </row>
    <row r="366" spans="1:18" x14ac:dyDescent="0.25">
      <c r="A366" s="6"/>
      <c r="B366" s="6"/>
      <c r="C366" s="6"/>
      <c r="D366" s="7"/>
      <c r="E366" s="8"/>
      <c r="F366" s="9"/>
      <c r="G366" s="9"/>
      <c r="H366" s="3"/>
      <c r="I366" s="7"/>
      <c r="J366" s="7"/>
      <c r="K366" s="25"/>
      <c r="L366" s="10"/>
      <c r="M366" s="10"/>
      <c r="N366" s="10"/>
      <c r="O366" s="6"/>
      <c r="P366" s="6"/>
      <c r="Q366" s="6"/>
      <c r="R366" s="44"/>
    </row>
    <row r="367" spans="1:18" x14ac:dyDescent="0.25">
      <c r="A367" s="6"/>
      <c r="B367" s="6"/>
      <c r="C367" s="6"/>
      <c r="D367" s="7"/>
      <c r="E367" s="8"/>
      <c r="F367" s="9"/>
      <c r="G367" s="9"/>
      <c r="H367" s="3"/>
      <c r="I367" s="7"/>
      <c r="J367" s="7"/>
      <c r="K367" s="25"/>
      <c r="L367" s="10"/>
      <c r="M367" s="10"/>
      <c r="N367" s="10"/>
      <c r="O367" s="6"/>
      <c r="P367" s="6"/>
      <c r="Q367" s="6"/>
      <c r="R367" s="44"/>
    </row>
    <row r="368" spans="1:18" x14ac:dyDescent="0.25">
      <c r="A368" s="6"/>
      <c r="B368" s="6"/>
      <c r="C368" s="6"/>
      <c r="D368" s="7"/>
      <c r="E368" s="8"/>
      <c r="F368" s="9"/>
      <c r="G368" s="9"/>
      <c r="H368" s="3"/>
      <c r="I368" s="7"/>
      <c r="J368" s="7"/>
      <c r="K368" s="25"/>
      <c r="L368" s="10"/>
      <c r="M368" s="10"/>
      <c r="N368" s="10"/>
      <c r="O368" s="6"/>
      <c r="P368" s="6"/>
      <c r="Q368" s="6"/>
      <c r="R368" s="44"/>
    </row>
    <row r="369" spans="1:18" x14ac:dyDescent="0.25">
      <c r="A369" s="6"/>
      <c r="B369" s="6"/>
      <c r="C369" s="6"/>
      <c r="D369" s="7"/>
      <c r="E369" s="8"/>
      <c r="F369" s="9"/>
      <c r="G369" s="9"/>
      <c r="H369" s="3"/>
      <c r="I369" s="7"/>
      <c r="J369" s="7"/>
      <c r="K369" s="25"/>
      <c r="L369" s="10"/>
      <c r="M369" s="10"/>
      <c r="N369" s="10"/>
      <c r="O369" s="6"/>
      <c r="P369" s="6"/>
      <c r="Q369" s="6"/>
      <c r="R369" s="44"/>
    </row>
    <row r="370" spans="1:18" x14ac:dyDescent="0.25">
      <c r="A370" s="6"/>
      <c r="B370" s="6"/>
      <c r="C370" s="6"/>
      <c r="D370" s="7"/>
      <c r="E370" s="8"/>
      <c r="F370" s="9"/>
      <c r="G370" s="9"/>
      <c r="H370" s="3"/>
      <c r="I370" s="7"/>
      <c r="J370" s="7"/>
      <c r="K370" s="25"/>
      <c r="L370" s="10"/>
      <c r="M370" s="10"/>
      <c r="N370" s="10"/>
      <c r="O370" s="6"/>
      <c r="P370" s="6"/>
      <c r="Q370" s="6"/>
      <c r="R370" s="44"/>
    </row>
    <row r="371" spans="1:18" x14ac:dyDescent="0.25">
      <c r="A371" s="6"/>
      <c r="B371" s="6"/>
      <c r="C371" s="6"/>
      <c r="D371" s="7"/>
      <c r="E371" s="8"/>
      <c r="F371" s="9"/>
      <c r="G371" s="9"/>
      <c r="H371" s="3"/>
      <c r="I371" s="7"/>
      <c r="J371" s="7"/>
      <c r="K371" s="25"/>
      <c r="L371" s="10"/>
      <c r="M371" s="10"/>
      <c r="N371" s="10"/>
      <c r="O371" s="6"/>
      <c r="P371" s="6"/>
      <c r="Q371" s="6"/>
      <c r="R371" s="44"/>
    </row>
    <row r="372" spans="1:18" x14ac:dyDescent="0.25">
      <c r="A372" s="6"/>
      <c r="B372" s="6"/>
      <c r="C372" s="6"/>
      <c r="D372" s="7"/>
      <c r="E372" s="8"/>
      <c r="F372" s="9"/>
      <c r="G372" s="9"/>
      <c r="H372" s="3"/>
      <c r="I372" s="7"/>
      <c r="J372" s="7"/>
      <c r="K372" s="25"/>
      <c r="L372" s="10"/>
      <c r="M372" s="10"/>
      <c r="N372" s="10"/>
      <c r="O372" s="6"/>
      <c r="P372" s="6"/>
      <c r="Q372" s="6"/>
      <c r="R372" s="44"/>
    </row>
    <row r="373" spans="1:18" x14ac:dyDescent="0.25">
      <c r="A373" s="6"/>
      <c r="B373" s="6"/>
      <c r="C373" s="6"/>
      <c r="D373" s="7"/>
      <c r="E373" s="8"/>
      <c r="F373" s="9"/>
      <c r="G373" s="9"/>
      <c r="H373" s="3"/>
      <c r="I373" s="7"/>
      <c r="J373" s="7"/>
      <c r="K373" s="25"/>
      <c r="L373" s="10"/>
      <c r="M373" s="10"/>
      <c r="N373" s="10"/>
      <c r="O373" s="6"/>
      <c r="P373" s="6"/>
      <c r="Q373" s="6"/>
      <c r="R373" s="44"/>
    </row>
    <row r="374" spans="1:18" x14ac:dyDescent="0.25">
      <c r="A374" s="6"/>
      <c r="B374" s="6"/>
      <c r="C374" s="6"/>
      <c r="D374" s="7"/>
      <c r="E374" s="8"/>
      <c r="F374" s="9"/>
      <c r="G374" s="9"/>
      <c r="H374" s="3"/>
      <c r="I374" s="7"/>
      <c r="J374" s="7"/>
      <c r="K374" s="25"/>
      <c r="L374" s="10"/>
      <c r="M374" s="10"/>
      <c r="N374" s="10"/>
      <c r="O374" s="6"/>
      <c r="P374" s="6"/>
      <c r="Q374" s="6"/>
      <c r="R374" s="44"/>
    </row>
    <row r="375" spans="1:18" x14ac:dyDescent="0.25">
      <c r="D375" s="7"/>
      <c r="E375" s="8"/>
      <c r="F375" s="9"/>
      <c r="G375" s="9"/>
      <c r="H375" s="3"/>
      <c r="I375" s="7"/>
      <c r="J375" s="7"/>
      <c r="K375" s="25"/>
      <c r="L375" s="10"/>
      <c r="M375" s="10"/>
      <c r="N375" s="10"/>
    </row>
    <row r="376" spans="1:18" x14ac:dyDescent="0.25">
      <c r="D376" s="7"/>
      <c r="E376" s="8"/>
      <c r="F376" s="9"/>
      <c r="G376" s="9"/>
      <c r="H376" s="3"/>
      <c r="I376" s="7"/>
      <c r="J376" s="7"/>
      <c r="K376" s="25"/>
      <c r="L376" s="10"/>
      <c r="M376" s="10"/>
      <c r="N376" s="10"/>
    </row>
    <row r="377" spans="1:18" x14ac:dyDescent="0.25">
      <c r="D377" s="7"/>
      <c r="E377" s="8"/>
      <c r="F377" s="9"/>
      <c r="G377" s="9"/>
      <c r="H377" s="3"/>
      <c r="I377" s="7"/>
      <c r="J377" s="7"/>
      <c r="K377" s="25"/>
      <c r="L377" s="10"/>
      <c r="M377" s="10"/>
      <c r="N377" s="10"/>
    </row>
    <row r="378" spans="1:18" x14ac:dyDescent="0.25">
      <c r="D378" s="7"/>
      <c r="E378" s="8"/>
      <c r="F378" s="9"/>
      <c r="G378" s="9"/>
      <c r="H378" s="3"/>
      <c r="I378" s="7"/>
      <c r="J378" s="7"/>
      <c r="K378" s="25"/>
      <c r="L378" s="10"/>
      <c r="M378" s="10"/>
      <c r="N378" s="10"/>
    </row>
    <row r="379" spans="1:18" x14ac:dyDescent="0.25">
      <c r="A379" s="6"/>
      <c r="B379" s="6"/>
      <c r="C379" s="6"/>
      <c r="D379" s="7"/>
      <c r="E379" s="8"/>
      <c r="F379" s="9"/>
      <c r="G379" s="9"/>
      <c r="H379" s="3"/>
      <c r="I379" s="7"/>
      <c r="J379" s="7"/>
      <c r="K379" s="25"/>
      <c r="L379" s="10"/>
      <c r="M379" s="10"/>
      <c r="N379" s="10"/>
      <c r="O379" s="6"/>
      <c r="P379" s="6"/>
      <c r="Q379" s="6"/>
      <c r="R379" s="44"/>
    </row>
    <row r="380" spans="1:18" x14ac:dyDescent="0.25">
      <c r="A380" s="6"/>
      <c r="B380" s="6"/>
      <c r="C380" s="6"/>
      <c r="D380" s="7"/>
      <c r="E380" s="8"/>
      <c r="F380" s="9"/>
      <c r="G380" s="9"/>
      <c r="H380" s="3"/>
      <c r="I380" s="7"/>
      <c r="J380" s="7"/>
      <c r="K380" s="25"/>
      <c r="L380" s="10"/>
      <c r="M380" s="10"/>
      <c r="N380" s="10"/>
      <c r="O380" s="6"/>
      <c r="P380" s="6"/>
      <c r="Q380" s="6"/>
      <c r="R380" s="44"/>
    </row>
    <row r="381" spans="1:18" x14ac:dyDescent="0.25">
      <c r="A381" s="6"/>
      <c r="B381" s="6"/>
      <c r="C381" s="6"/>
      <c r="D381" s="7"/>
      <c r="E381" s="8"/>
      <c r="F381" s="9"/>
      <c r="G381" s="9"/>
      <c r="H381" s="3"/>
      <c r="I381" s="7"/>
      <c r="J381" s="7"/>
      <c r="K381" s="25"/>
      <c r="L381" s="10"/>
      <c r="M381" s="10"/>
      <c r="N381" s="10"/>
      <c r="O381" s="6"/>
      <c r="P381" s="6"/>
      <c r="Q381" s="6"/>
      <c r="R381" s="44"/>
    </row>
    <row r="382" spans="1:18" x14ac:dyDescent="0.25">
      <c r="A382" s="6"/>
      <c r="B382" s="6"/>
      <c r="C382" s="6"/>
      <c r="D382" s="7"/>
      <c r="E382" s="8"/>
      <c r="F382" s="9"/>
      <c r="G382" s="9"/>
      <c r="H382" s="3"/>
      <c r="I382" s="7"/>
      <c r="J382" s="7"/>
      <c r="K382" s="25"/>
      <c r="L382" s="10"/>
      <c r="M382" s="10"/>
      <c r="N382" s="10"/>
      <c r="O382" s="6"/>
      <c r="P382" s="6"/>
      <c r="Q382" s="6"/>
      <c r="R382" s="44"/>
    </row>
    <row r="383" spans="1:18" x14ac:dyDescent="0.25">
      <c r="D383" s="7"/>
      <c r="E383" s="8"/>
      <c r="F383" s="9"/>
      <c r="G383" s="9"/>
      <c r="H383" s="3"/>
      <c r="I383" s="7"/>
      <c r="J383" s="7"/>
      <c r="K383" s="25"/>
      <c r="L383" s="10"/>
      <c r="M383" s="10"/>
      <c r="N383" s="10"/>
    </row>
    <row r="384" spans="1:18" x14ac:dyDescent="0.25">
      <c r="A384" s="6"/>
      <c r="B384" s="6"/>
      <c r="C384" s="6"/>
      <c r="D384" s="7"/>
      <c r="E384" s="8"/>
      <c r="F384" s="9"/>
      <c r="G384" s="9"/>
      <c r="H384" s="3"/>
      <c r="I384" s="7"/>
      <c r="J384" s="7"/>
      <c r="K384" s="25"/>
      <c r="L384" s="10"/>
      <c r="M384" s="10"/>
      <c r="N384" s="10"/>
      <c r="O384" s="6"/>
      <c r="P384" s="6"/>
      <c r="Q384" s="6"/>
      <c r="R384" s="44"/>
    </row>
    <row r="385" spans="1:18" x14ac:dyDescent="0.25">
      <c r="A385" s="6"/>
      <c r="B385" s="6"/>
      <c r="C385" s="6"/>
      <c r="D385" s="7"/>
      <c r="E385" s="8"/>
      <c r="F385" s="9"/>
      <c r="G385" s="9"/>
      <c r="H385" s="3"/>
      <c r="I385" s="7"/>
      <c r="J385" s="7"/>
      <c r="K385" s="25"/>
      <c r="L385" s="10"/>
      <c r="M385" s="10"/>
      <c r="N385" s="10"/>
      <c r="O385" s="6"/>
      <c r="P385" s="6"/>
      <c r="Q385" s="6"/>
      <c r="R385" s="44"/>
    </row>
    <row r="386" spans="1:18" x14ac:dyDescent="0.25">
      <c r="A386" s="6"/>
      <c r="B386" s="6"/>
      <c r="C386" s="6"/>
      <c r="D386" s="7"/>
      <c r="E386" s="8"/>
      <c r="F386" s="9"/>
      <c r="G386" s="9"/>
      <c r="H386" s="3"/>
      <c r="I386" s="7"/>
      <c r="J386" s="7"/>
      <c r="K386" s="25"/>
      <c r="L386" s="10"/>
      <c r="M386" s="10"/>
      <c r="N386" s="10"/>
      <c r="O386" s="6"/>
      <c r="P386" s="6"/>
      <c r="Q386" s="6"/>
      <c r="R386" s="44"/>
    </row>
    <row r="387" spans="1:18" x14ac:dyDescent="0.25">
      <c r="A387" s="6"/>
      <c r="B387" s="6"/>
      <c r="C387" s="6"/>
      <c r="D387" s="7"/>
      <c r="E387" s="8"/>
      <c r="F387" s="9"/>
      <c r="G387" s="9"/>
      <c r="H387" s="3"/>
      <c r="I387" s="7"/>
      <c r="J387" s="7"/>
      <c r="K387" s="25"/>
      <c r="L387" s="10"/>
      <c r="M387" s="10"/>
      <c r="N387" s="10"/>
      <c r="O387" s="6"/>
      <c r="P387" s="6"/>
      <c r="Q387" s="6"/>
      <c r="R387" s="44"/>
    </row>
    <row r="388" spans="1:18" x14ac:dyDescent="0.25">
      <c r="A388" s="6"/>
      <c r="B388" s="6"/>
      <c r="C388" s="6"/>
      <c r="D388" s="7"/>
      <c r="E388" s="8"/>
      <c r="F388" s="9"/>
      <c r="G388" s="9"/>
      <c r="H388" s="3"/>
      <c r="I388" s="7"/>
      <c r="J388" s="7"/>
      <c r="K388" s="25"/>
      <c r="L388" s="10"/>
      <c r="M388" s="10"/>
      <c r="N388" s="10"/>
      <c r="O388" s="6"/>
      <c r="P388" s="6"/>
      <c r="Q388" s="6"/>
      <c r="R388" s="44"/>
    </row>
    <row r="389" spans="1:18" x14ac:dyDescent="0.25">
      <c r="A389" s="6"/>
      <c r="B389" s="6"/>
      <c r="C389" s="6"/>
      <c r="D389" s="7"/>
      <c r="E389" s="8"/>
      <c r="F389" s="9"/>
      <c r="G389" s="9"/>
      <c r="H389" s="3"/>
      <c r="I389" s="7"/>
      <c r="J389" s="7"/>
      <c r="K389" s="25"/>
      <c r="L389" s="10"/>
      <c r="M389" s="10"/>
      <c r="N389" s="10"/>
      <c r="O389" s="6"/>
      <c r="P389" s="6"/>
      <c r="Q389" s="6"/>
      <c r="R389" s="44"/>
    </row>
    <row r="390" spans="1:18" x14ac:dyDescent="0.25">
      <c r="A390" s="6"/>
      <c r="B390" s="6"/>
      <c r="C390" s="6"/>
      <c r="D390" s="7"/>
      <c r="E390" s="8"/>
      <c r="F390" s="9"/>
      <c r="G390" s="9"/>
      <c r="H390" s="3"/>
      <c r="I390" s="7"/>
      <c r="J390" s="7"/>
      <c r="K390" s="25"/>
      <c r="L390" s="10"/>
      <c r="M390" s="10"/>
      <c r="N390" s="10"/>
      <c r="O390" s="6"/>
      <c r="P390" s="6"/>
      <c r="Q390" s="6"/>
      <c r="R390" s="44"/>
    </row>
    <row r="391" spans="1:18" x14ac:dyDescent="0.25">
      <c r="A391" s="6"/>
      <c r="B391" s="6"/>
      <c r="C391" s="6"/>
      <c r="D391" s="7"/>
      <c r="E391" s="8"/>
      <c r="F391" s="9"/>
      <c r="G391" s="9"/>
      <c r="H391" s="3"/>
      <c r="I391" s="7"/>
      <c r="J391" s="7"/>
      <c r="K391" s="25"/>
      <c r="L391" s="10"/>
      <c r="M391" s="10"/>
      <c r="N391" s="10"/>
      <c r="O391" s="6"/>
      <c r="P391" s="6"/>
      <c r="Q391" s="6"/>
      <c r="R391" s="44"/>
    </row>
    <row r="392" spans="1:18" x14ac:dyDescent="0.25">
      <c r="A392" s="6"/>
      <c r="B392" s="6"/>
      <c r="C392" s="6"/>
      <c r="D392" s="7"/>
      <c r="E392" s="8"/>
      <c r="F392" s="9"/>
      <c r="G392" s="9"/>
      <c r="H392" s="3"/>
      <c r="I392" s="7"/>
      <c r="J392" s="7"/>
      <c r="K392" s="25"/>
      <c r="L392" s="10"/>
      <c r="M392" s="10"/>
      <c r="N392" s="10"/>
      <c r="O392" s="6"/>
      <c r="P392" s="6"/>
      <c r="Q392" s="6"/>
      <c r="R392" s="44"/>
    </row>
    <row r="393" spans="1:18" x14ac:dyDescent="0.25">
      <c r="A393" s="6"/>
      <c r="B393" s="6"/>
      <c r="C393" s="6"/>
      <c r="D393" s="7"/>
      <c r="E393" s="8"/>
      <c r="F393" s="9"/>
      <c r="G393" s="9"/>
      <c r="H393" s="3"/>
      <c r="I393" s="7"/>
      <c r="J393" s="7"/>
      <c r="K393" s="25"/>
      <c r="L393" s="10"/>
      <c r="M393" s="10"/>
      <c r="N393" s="10"/>
      <c r="O393" s="6"/>
      <c r="P393" s="6"/>
      <c r="Q393" s="6"/>
      <c r="R393" s="44"/>
    </row>
    <row r="394" spans="1:18" x14ac:dyDescent="0.25">
      <c r="A394" s="6"/>
      <c r="B394" s="6"/>
      <c r="C394" s="6"/>
      <c r="D394" s="7"/>
      <c r="E394" s="8"/>
      <c r="F394" s="9"/>
      <c r="G394" s="9"/>
      <c r="H394" s="3"/>
      <c r="I394" s="7"/>
      <c r="J394" s="7"/>
      <c r="K394" s="25"/>
      <c r="L394" s="10"/>
      <c r="M394" s="10"/>
      <c r="N394" s="10"/>
      <c r="O394" s="6"/>
      <c r="P394" s="6"/>
      <c r="Q394" s="6"/>
      <c r="R394" s="44"/>
    </row>
    <row r="395" spans="1:18" x14ac:dyDescent="0.25">
      <c r="A395" s="6"/>
      <c r="B395" s="6"/>
      <c r="C395" s="6"/>
      <c r="D395" s="7"/>
      <c r="E395" s="8"/>
      <c r="F395" s="9"/>
      <c r="G395" s="9"/>
      <c r="H395" s="3"/>
      <c r="I395" s="7"/>
      <c r="J395" s="7"/>
      <c r="K395" s="25"/>
      <c r="L395" s="10"/>
      <c r="M395" s="10"/>
      <c r="N395" s="10"/>
      <c r="O395" s="6"/>
      <c r="P395" s="6"/>
      <c r="Q395" s="6"/>
      <c r="R395" s="44"/>
    </row>
    <row r="396" spans="1:18" x14ac:dyDescent="0.25">
      <c r="D396" s="7"/>
      <c r="E396" s="8"/>
      <c r="F396" s="9"/>
      <c r="G396" s="9"/>
      <c r="H396" s="3"/>
      <c r="I396" s="7"/>
      <c r="J396" s="7"/>
      <c r="K396" s="25"/>
      <c r="L396" s="10"/>
      <c r="M396" s="10"/>
      <c r="N396" s="10"/>
    </row>
    <row r="397" spans="1:18" x14ac:dyDescent="0.25">
      <c r="D397" s="7"/>
      <c r="E397" s="8"/>
      <c r="F397" s="9"/>
      <c r="G397" s="9"/>
      <c r="H397" s="3"/>
      <c r="I397" s="7"/>
      <c r="J397" s="7"/>
      <c r="K397" s="25"/>
      <c r="L397" s="10"/>
      <c r="M397" s="10"/>
      <c r="N397" s="10"/>
    </row>
    <row r="398" spans="1:18" x14ac:dyDescent="0.25">
      <c r="A398" s="6"/>
      <c r="B398" s="6"/>
      <c r="C398" s="6"/>
      <c r="D398" s="7"/>
      <c r="E398" s="8"/>
      <c r="F398" s="9"/>
      <c r="G398" s="9"/>
      <c r="H398" s="3"/>
      <c r="I398" s="7"/>
      <c r="J398" s="7"/>
      <c r="K398" s="25"/>
      <c r="L398" s="10"/>
      <c r="M398" s="10"/>
      <c r="N398" s="10"/>
      <c r="O398" s="6"/>
      <c r="P398" s="6"/>
      <c r="Q398" s="6"/>
      <c r="R398" s="44"/>
    </row>
    <row r="399" spans="1:18" x14ac:dyDescent="0.25">
      <c r="A399" s="6"/>
      <c r="B399" s="6"/>
      <c r="C399" s="6"/>
      <c r="D399" s="7"/>
      <c r="E399" s="8"/>
      <c r="F399" s="9"/>
      <c r="G399" s="9"/>
      <c r="H399" s="3"/>
      <c r="I399" s="7"/>
      <c r="J399" s="7"/>
      <c r="K399" s="25"/>
      <c r="L399" s="10"/>
      <c r="M399" s="10"/>
      <c r="N399" s="10"/>
      <c r="O399" s="6"/>
      <c r="P399" s="6"/>
      <c r="Q399" s="6"/>
      <c r="R399" s="44"/>
    </row>
    <row r="400" spans="1:18" x14ac:dyDescent="0.25">
      <c r="D400" s="7"/>
      <c r="E400" s="8"/>
      <c r="F400" s="9"/>
      <c r="G400" s="9"/>
      <c r="H400" s="3"/>
      <c r="I400" s="7"/>
      <c r="J400" s="7"/>
      <c r="K400" s="25"/>
      <c r="L400" s="10"/>
      <c r="M400" s="10"/>
      <c r="N400" s="10"/>
    </row>
    <row r="401" spans="1:18" x14ac:dyDescent="0.25">
      <c r="A401" s="6"/>
      <c r="B401" s="6"/>
      <c r="C401" s="6"/>
      <c r="D401" s="7"/>
      <c r="E401" s="8"/>
      <c r="F401" s="9"/>
      <c r="G401" s="9"/>
      <c r="H401" s="3"/>
      <c r="I401" s="7"/>
      <c r="J401" s="7"/>
      <c r="K401" s="25"/>
      <c r="L401" s="10"/>
      <c r="M401" s="10"/>
      <c r="N401" s="10"/>
      <c r="O401" s="6"/>
      <c r="P401" s="6"/>
      <c r="Q401" s="6"/>
      <c r="R401" s="44"/>
    </row>
    <row r="402" spans="1:18" x14ac:dyDescent="0.25">
      <c r="A402" s="6"/>
      <c r="B402" s="6"/>
      <c r="C402" s="6"/>
      <c r="D402" s="7"/>
      <c r="E402" s="8"/>
      <c r="F402" s="9"/>
      <c r="G402" s="9"/>
      <c r="H402" s="3"/>
      <c r="I402" s="7"/>
      <c r="J402" s="7"/>
      <c r="K402" s="25"/>
      <c r="L402" s="10"/>
      <c r="M402" s="10"/>
      <c r="N402" s="10"/>
      <c r="O402" s="6"/>
      <c r="P402" s="6"/>
      <c r="Q402" s="6"/>
      <c r="R402" s="44"/>
    </row>
    <row r="403" spans="1:18" x14ac:dyDescent="0.25">
      <c r="A403" s="6"/>
      <c r="B403" s="6"/>
      <c r="C403" s="6"/>
      <c r="D403" s="7"/>
      <c r="E403" s="8"/>
      <c r="F403" s="9"/>
      <c r="G403" s="9"/>
      <c r="H403" s="3"/>
      <c r="I403" s="7"/>
      <c r="J403" s="7"/>
      <c r="K403" s="25"/>
      <c r="L403" s="10"/>
      <c r="M403" s="10"/>
      <c r="N403" s="10"/>
      <c r="O403" s="6"/>
      <c r="P403" s="6"/>
      <c r="Q403" s="6"/>
      <c r="R403" s="44"/>
    </row>
    <row r="404" spans="1:18" x14ac:dyDescent="0.25">
      <c r="A404" s="6"/>
      <c r="B404" s="6"/>
      <c r="C404" s="6"/>
      <c r="D404" s="7"/>
      <c r="E404" s="8"/>
      <c r="F404" s="9"/>
      <c r="G404" s="9"/>
      <c r="H404" s="3"/>
      <c r="I404" s="7"/>
      <c r="J404" s="7"/>
      <c r="K404" s="25"/>
      <c r="L404" s="10"/>
      <c r="M404" s="10"/>
      <c r="N404" s="10"/>
      <c r="O404" s="6"/>
      <c r="P404" s="6"/>
      <c r="Q404" s="6"/>
      <c r="R404" s="44"/>
    </row>
    <row r="405" spans="1:18" x14ac:dyDescent="0.25">
      <c r="A405" s="6"/>
      <c r="B405" s="6"/>
      <c r="C405" s="6"/>
      <c r="D405" s="7"/>
      <c r="E405" s="8"/>
      <c r="F405" s="9"/>
      <c r="G405" s="9"/>
      <c r="H405" s="3"/>
      <c r="I405" s="7"/>
      <c r="J405" s="7"/>
      <c r="K405" s="25"/>
      <c r="L405" s="10"/>
      <c r="M405" s="10"/>
      <c r="N405" s="10"/>
      <c r="O405" s="6"/>
      <c r="P405" s="6"/>
      <c r="Q405" s="6"/>
      <c r="R405" s="44"/>
    </row>
    <row r="406" spans="1:18" x14ac:dyDescent="0.25">
      <c r="A406" s="6"/>
      <c r="B406" s="6"/>
      <c r="C406" s="6"/>
      <c r="D406" s="7"/>
      <c r="E406" s="8"/>
      <c r="F406" s="9"/>
      <c r="G406" s="9"/>
      <c r="H406" s="3"/>
      <c r="I406" s="7"/>
      <c r="J406" s="7"/>
      <c r="K406" s="25"/>
      <c r="L406" s="10"/>
      <c r="M406" s="10"/>
      <c r="N406" s="10"/>
      <c r="O406" s="6"/>
      <c r="P406" s="6"/>
      <c r="Q406" s="6"/>
      <c r="R406" s="44"/>
    </row>
    <row r="407" spans="1:18" x14ac:dyDescent="0.25">
      <c r="A407" s="6"/>
      <c r="B407" s="6"/>
      <c r="C407" s="6"/>
      <c r="D407" s="7"/>
      <c r="E407" s="8"/>
      <c r="F407" s="9"/>
      <c r="G407" s="9"/>
      <c r="H407" s="3"/>
      <c r="I407" s="7"/>
      <c r="J407" s="7"/>
      <c r="K407" s="25"/>
      <c r="L407" s="10"/>
      <c r="M407" s="10"/>
      <c r="N407" s="10"/>
      <c r="O407" s="6"/>
      <c r="P407" s="6"/>
      <c r="Q407" s="6"/>
      <c r="R407" s="44"/>
    </row>
    <row r="408" spans="1:18" x14ac:dyDescent="0.25">
      <c r="A408" s="6"/>
      <c r="B408" s="6"/>
      <c r="C408" s="6"/>
      <c r="D408" s="7"/>
      <c r="E408" s="8"/>
      <c r="F408" s="9"/>
      <c r="G408" s="9"/>
      <c r="H408" s="3"/>
      <c r="I408" s="7"/>
      <c r="J408" s="7"/>
      <c r="K408" s="25"/>
      <c r="L408" s="10"/>
      <c r="M408" s="10"/>
      <c r="N408" s="10"/>
      <c r="O408" s="6"/>
      <c r="P408" s="6"/>
      <c r="Q408" s="6"/>
      <c r="R408" s="44"/>
    </row>
    <row r="409" spans="1:18" x14ac:dyDescent="0.25">
      <c r="A409" s="6"/>
      <c r="B409" s="6"/>
      <c r="C409" s="6"/>
      <c r="D409" s="7"/>
      <c r="E409" s="8"/>
      <c r="F409" s="9"/>
      <c r="G409" s="9"/>
      <c r="H409" s="3"/>
      <c r="I409" s="7"/>
      <c r="J409" s="7"/>
      <c r="K409" s="25"/>
      <c r="L409" s="10"/>
      <c r="M409" s="10"/>
      <c r="N409" s="10"/>
      <c r="O409" s="6"/>
      <c r="P409" s="6"/>
      <c r="Q409" s="6"/>
      <c r="R409" s="44"/>
    </row>
    <row r="410" spans="1:18" x14ac:dyDescent="0.25">
      <c r="A410" s="6"/>
      <c r="B410" s="6"/>
      <c r="C410" s="6"/>
      <c r="D410" s="7"/>
      <c r="E410" s="8"/>
      <c r="F410" s="9"/>
      <c r="G410" s="9"/>
      <c r="H410" s="3"/>
      <c r="I410" s="7"/>
      <c r="J410" s="7"/>
      <c r="K410" s="25"/>
      <c r="L410" s="10"/>
      <c r="M410" s="10"/>
      <c r="N410" s="10"/>
      <c r="O410" s="6"/>
      <c r="P410" s="6"/>
      <c r="Q410" s="6"/>
      <c r="R410" s="44"/>
    </row>
    <row r="411" spans="1:18" x14ac:dyDescent="0.25">
      <c r="A411" s="6"/>
      <c r="B411" s="6"/>
      <c r="C411" s="6"/>
      <c r="D411" s="7"/>
      <c r="E411" s="8"/>
      <c r="F411" s="9"/>
      <c r="G411" s="9"/>
      <c r="H411" s="3"/>
      <c r="I411" s="7"/>
      <c r="J411" s="7"/>
      <c r="K411" s="25"/>
      <c r="L411" s="10"/>
      <c r="M411" s="10"/>
      <c r="N411" s="10"/>
      <c r="O411" s="6"/>
      <c r="P411" s="6"/>
      <c r="Q411" s="6"/>
      <c r="R411" s="44"/>
    </row>
    <row r="412" spans="1:18" x14ac:dyDescent="0.25">
      <c r="A412" s="6"/>
      <c r="B412" s="6"/>
      <c r="C412" s="6"/>
      <c r="D412" s="7"/>
      <c r="E412" s="8"/>
      <c r="F412" s="9"/>
      <c r="G412" s="9"/>
      <c r="H412" s="3"/>
      <c r="I412" s="7"/>
      <c r="J412" s="7"/>
      <c r="K412" s="25"/>
      <c r="L412" s="10"/>
      <c r="M412" s="10"/>
      <c r="N412" s="10"/>
      <c r="O412" s="6"/>
      <c r="P412" s="6"/>
      <c r="Q412" s="6"/>
      <c r="R412" s="44"/>
    </row>
    <row r="413" spans="1:18" x14ac:dyDescent="0.25">
      <c r="A413" s="6"/>
      <c r="B413" s="6"/>
      <c r="C413" s="6"/>
      <c r="D413" s="7"/>
      <c r="E413" s="8"/>
      <c r="F413" s="9"/>
      <c r="G413" s="9"/>
      <c r="H413" s="3"/>
      <c r="I413" s="7"/>
      <c r="J413" s="7"/>
      <c r="K413" s="25"/>
      <c r="L413" s="10"/>
      <c r="M413" s="10"/>
      <c r="N413" s="10"/>
      <c r="O413" s="6"/>
      <c r="P413" s="6"/>
      <c r="Q413" s="6"/>
      <c r="R413" s="44"/>
    </row>
    <row r="414" spans="1:18" x14ac:dyDescent="0.25">
      <c r="A414" s="6"/>
      <c r="B414" s="6"/>
      <c r="C414" s="6"/>
      <c r="D414" s="7"/>
      <c r="E414" s="8"/>
      <c r="F414" s="9"/>
      <c r="G414" s="9"/>
      <c r="H414" s="3"/>
      <c r="I414" s="7"/>
      <c r="J414" s="7"/>
      <c r="K414" s="25"/>
      <c r="L414" s="10"/>
      <c r="M414" s="10"/>
      <c r="N414" s="10"/>
      <c r="O414" s="6"/>
      <c r="P414" s="6"/>
      <c r="Q414" s="6"/>
      <c r="R414" s="44"/>
    </row>
    <row r="415" spans="1:18" x14ac:dyDescent="0.25">
      <c r="A415" s="6"/>
      <c r="B415" s="6"/>
      <c r="C415" s="6"/>
      <c r="D415" s="7"/>
      <c r="E415" s="8"/>
      <c r="F415" s="9"/>
      <c r="G415" s="9"/>
      <c r="H415" s="3"/>
      <c r="I415" s="7"/>
      <c r="J415" s="7"/>
      <c r="K415" s="25"/>
      <c r="L415" s="10"/>
      <c r="M415" s="10"/>
      <c r="N415" s="10"/>
      <c r="O415" s="6"/>
      <c r="P415" s="6"/>
      <c r="Q415" s="6"/>
      <c r="R415" s="44"/>
    </row>
    <row r="416" spans="1:18" x14ac:dyDescent="0.25">
      <c r="A416" s="6"/>
      <c r="B416" s="6"/>
      <c r="C416" s="6"/>
      <c r="D416" s="7"/>
      <c r="E416" s="8"/>
      <c r="F416" s="9"/>
      <c r="G416" s="9"/>
      <c r="H416" s="3"/>
      <c r="I416" s="7"/>
      <c r="J416" s="7"/>
      <c r="K416" s="25"/>
      <c r="L416" s="10"/>
      <c r="M416" s="10"/>
      <c r="N416" s="10"/>
      <c r="O416" s="6"/>
      <c r="P416" s="6"/>
      <c r="Q416" s="6"/>
      <c r="R416" s="44"/>
    </row>
    <row r="417" spans="1:18" x14ac:dyDescent="0.25">
      <c r="A417" s="6"/>
      <c r="B417" s="6"/>
      <c r="C417" s="6"/>
      <c r="D417" s="7"/>
      <c r="E417" s="8"/>
      <c r="F417" s="9"/>
      <c r="G417" s="9"/>
      <c r="H417" s="3"/>
      <c r="I417" s="7"/>
      <c r="J417" s="7"/>
      <c r="K417" s="25"/>
      <c r="L417" s="10"/>
      <c r="M417" s="10"/>
      <c r="N417" s="10"/>
      <c r="O417" s="6"/>
      <c r="P417" s="6"/>
      <c r="Q417" s="6"/>
      <c r="R417" s="44"/>
    </row>
    <row r="418" spans="1:18" x14ac:dyDescent="0.25">
      <c r="D418" s="7"/>
      <c r="E418" s="8"/>
      <c r="F418" s="9"/>
      <c r="G418" s="9"/>
      <c r="H418" s="3"/>
      <c r="I418" s="7"/>
      <c r="J418" s="7"/>
      <c r="K418" s="25"/>
      <c r="L418" s="10"/>
      <c r="M418" s="10"/>
      <c r="N418" s="10"/>
    </row>
    <row r="419" spans="1:18" x14ac:dyDescent="0.25">
      <c r="D419" s="7"/>
      <c r="E419" s="8"/>
      <c r="F419" s="9"/>
      <c r="G419" s="9"/>
      <c r="H419" s="3"/>
      <c r="I419" s="7"/>
      <c r="J419" s="7"/>
      <c r="K419" s="25"/>
      <c r="L419" s="10"/>
      <c r="M419" s="10"/>
      <c r="N419" s="10"/>
    </row>
    <row r="420" spans="1:18" x14ac:dyDescent="0.25">
      <c r="A420" s="6"/>
      <c r="B420" s="6"/>
      <c r="C420" s="6"/>
      <c r="D420" s="7"/>
      <c r="E420" s="8"/>
      <c r="F420" s="9"/>
      <c r="G420" s="9"/>
      <c r="H420" s="3"/>
      <c r="I420" s="7"/>
      <c r="J420" s="7"/>
      <c r="K420" s="25"/>
      <c r="L420" s="10"/>
      <c r="M420" s="10"/>
      <c r="N420" s="10"/>
      <c r="O420" s="6"/>
      <c r="P420" s="6"/>
      <c r="Q420" s="6"/>
      <c r="R420" s="44"/>
    </row>
    <row r="421" spans="1:18" x14ac:dyDescent="0.25">
      <c r="A421" s="6"/>
      <c r="B421" s="6"/>
      <c r="C421" s="6"/>
      <c r="D421" s="7"/>
      <c r="E421" s="8"/>
      <c r="F421" s="9"/>
      <c r="G421" s="9"/>
      <c r="H421" s="3"/>
      <c r="I421" s="7"/>
      <c r="J421" s="7"/>
      <c r="K421" s="25"/>
      <c r="L421" s="10"/>
      <c r="M421" s="10"/>
      <c r="N421" s="10"/>
      <c r="O421" s="6"/>
      <c r="P421" s="6"/>
      <c r="Q421" s="6"/>
      <c r="R421" s="44"/>
    </row>
    <row r="422" spans="1:18" x14ac:dyDescent="0.25">
      <c r="A422" s="6"/>
      <c r="B422" s="6"/>
      <c r="C422" s="6"/>
      <c r="D422" s="7"/>
      <c r="E422" s="8"/>
      <c r="F422" s="9"/>
      <c r="G422" s="9"/>
      <c r="H422" s="3"/>
      <c r="I422" s="7"/>
      <c r="J422" s="7"/>
      <c r="K422" s="25"/>
      <c r="L422" s="10"/>
      <c r="M422" s="10"/>
      <c r="N422" s="10"/>
      <c r="O422" s="6"/>
      <c r="P422" s="6"/>
      <c r="Q422" s="6"/>
      <c r="R422" s="44"/>
    </row>
    <row r="423" spans="1:18" x14ac:dyDescent="0.25">
      <c r="D423" s="7"/>
      <c r="E423" s="8"/>
      <c r="F423" s="9"/>
      <c r="G423" s="9"/>
      <c r="H423" s="3"/>
      <c r="I423" s="7"/>
      <c r="J423" s="7"/>
      <c r="K423" s="25"/>
      <c r="L423" s="10"/>
      <c r="M423" s="10"/>
      <c r="N423" s="10"/>
    </row>
    <row r="424" spans="1:18" x14ac:dyDescent="0.25">
      <c r="A424" s="6"/>
      <c r="B424" s="6"/>
      <c r="C424" s="6"/>
      <c r="D424" s="7"/>
      <c r="E424" s="8"/>
      <c r="F424" s="9"/>
      <c r="G424" s="9"/>
      <c r="H424" s="3"/>
      <c r="I424" s="7"/>
      <c r="J424" s="7"/>
      <c r="K424" s="25"/>
      <c r="L424" s="10"/>
      <c r="M424" s="10"/>
      <c r="N424" s="10"/>
      <c r="O424" s="6"/>
      <c r="P424" s="6"/>
      <c r="Q424" s="6"/>
      <c r="R424" s="44"/>
    </row>
    <row r="425" spans="1:18" x14ac:dyDescent="0.25">
      <c r="A425" s="6"/>
      <c r="B425" s="6"/>
      <c r="C425" s="6"/>
      <c r="D425" s="7"/>
      <c r="E425" s="8"/>
      <c r="F425" s="9"/>
      <c r="G425" s="9"/>
      <c r="H425" s="3"/>
      <c r="I425" s="7"/>
      <c r="J425" s="7"/>
      <c r="K425" s="25"/>
      <c r="L425" s="10"/>
      <c r="M425" s="10"/>
      <c r="N425" s="10"/>
      <c r="O425" s="6"/>
      <c r="P425" s="6"/>
      <c r="Q425" s="6"/>
      <c r="R425" s="44"/>
    </row>
    <row r="426" spans="1:18" x14ac:dyDescent="0.25">
      <c r="A426" s="6"/>
      <c r="B426" s="6"/>
      <c r="C426" s="6"/>
      <c r="D426" s="7"/>
      <c r="E426" s="8"/>
      <c r="F426" s="9"/>
      <c r="G426" s="9"/>
      <c r="H426" s="3"/>
      <c r="I426" s="7"/>
      <c r="J426" s="7"/>
      <c r="K426" s="25"/>
      <c r="L426" s="10"/>
      <c r="M426" s="10"/>
      <c r="N426" s="10"/>
      <c r="O426" s="6"/>
      <c r="P426" s="6"/>
      <c r="Q426" s="6"/>
      <c r="R426" s="44"/>
    </row>
    <row r="427" spans="1:18" x14ac:dyDescent="0.25">
      <c r="A427" s="6"/>
      <c r="B427" s="6"/>
      <c r="C427" s="6"/>
      <c r="D427" s="7"/>
      <c r="E427" s="8"/>
      <c r="F427" s="9"/>
      <c r="G427" s="9"/>
      <c r="H427" s="3"/>
      <c r="I427" s="7"/>
      <c r="J427" s="7"/>
      <c r="K427" s="25"/>
      <c r="L427" s="10"/>
      <c r="M427" s="10"/>
      <c r="N427" s="10"/>
      <c r="O427" s="6"/>
      <c r="P427" s="6"/>
      <c r="Q427" s="6"/>
      <c r="R427" s="44"/>
    </row>
    <row r="428" spans="1:18" x14ac:dyDescent="0.25">
      <c r="A428" s="6"/>
      <c r="B428" s="6"/>
      <c r="C428" s="6"/>
      <c r="D428" s="7"/>
      <c r="E428" s="8"/>
      <c r="F428" s="9"/>
      <c r="G428" s="9"/>
      <c r="H428" s="3"/>
      <c r="I428" s="7"/>
      <c r="J428" s="7"/>
      <c r="K428" s="25"/>
      <c r="L428" s="10"/>
      <c r="M428" s="10"/>
      <c r="N428" s="10"/>
      <c r="O428" s="6"/>
      <c r="P428" s="6"/>
      <c r="Q428" s="6"/>
      <c r="R428" s="44"/>
    </row>
    <row r="429" spans="1:18" x14ac:dyDescent="0.25">
      <c r="A429" s="6"/>
      <c r="B429" s="6"/>
      <c r="C429" s="6"/>
      <c r="D429" s="7"/>
      <c r="E429" s="8"/>
      <c r="F429" s="9"/>
      <c r="G429" s="9"/>
      <c r="H429" s="3"/>
      <c r="I429" s="7"/>
      <c r="J429" s="7"/>
      <c r="K429" s="25"/>
      <c r="L429" s="10"/>
      <c r="M429" s="10"/>
      <c r="N429" s="10"/>
      <c r="O429" s="6"/>
      <c r="P429" s="6"/>
      <c r="Q429" s="6"/>
      <c r="R429" s="44"/>
    </row>
    <row r="430" spans="1:18" x14ac:dyDescent="0.25">
      <c r="A430" s="6"/>
      <c r="B430" s="6"/>
      <c r="C430" s="6"/>
      <c r="D430" s="7"/>
      <c r="E430" s="8"/>
      <c r="F430" s="9"/>
      <c r="G430" s="9"/>
      <c r="H430" s="3"/>
      <c r="I430" s="7"/>
      <c r="J430" s="7"/>
      <c r="K430" s="25"/>
      <c r="L430" s="10"/>
      <c r="M430" s="10"/>
      <c r="N430" s="10"/>
      <c r="O430" s="6"/>
      <c r="P430" s="6"/>
      <c r="Q430" s="6"/>
      <c r="R430" s="44"/>
    </row>
    <row r="431" spans="1:18" x14ac:dyDescent="0.25">
      <c r="A431" s="6"/>
      <c r="B431" s="6"/>
      <c r="C431" s="6"/>
      <c r="D431" s="7"/>
      <c r="E431" s="8"/>
      <c r="F431" s="9"/>
      <c r="G431" s="9"/>
      <c r="H431" s="3"/>
      <c r="I431" s="7"/>
      <c r="J431" s="7"/>
      <c r="K431" s="25"/>
      <c r="L431" s="10"/>
      <c r="M431" s="10"/>
      <c r="N431" s="10"/>
      <c r="O431" s="6"/>
      <c r="P431" s="6"/>
      <c r="Q431" s="6"/>
      <c r="R431" s="44"/>
    </row>
    <row r="432" spans="1:18" x14ac:dyDescent="0.25">
      <c r="A432" s="6"/>
      <c r="B432" s="6"/>
      <c r="C432" s="6"/>
      <c r="D432" s="7"/>
      <c r="E432" s="8"/>
      <c r="F432" s="9"/>
      <c r="G432" s="9"/>
      <c r="H432" s="3"/>
      <c r="I432" s="7"/>
      <c r="J432" s="7"/>
      <c r="K432" s="25"/>
      <c r="L432" s="10"/>
      <c r="M432" s="10"/>
      <c r="N432" s="10"/>
      <c r="O432" s="6"/>
      <c r="P432" s="6"/>
      <c r="Q432" s="6"/>
      <c r="R432" s="44"/>
    </row>
    <row r="433" spans="1:18" x14ac:dyDescent="0.25">
      <c r="A433" s="6"/>
      <c r="B433" s="6"/>
      <c r="C433" s="6"/>
      <c r="D433" s="7"/>
      <c r="E433" s="8"/>
      <c r="F433" s="9"/>
      <c r="G433" s="9"/>
      <c r="H433" s="3"/>
      <c r="I433" s="7"/>
      <c r="J433" s="7"/>
      <c r="K433" s="25"/>
      <c r="L433" s="10"/>
      <c r="M433" s="10"/>
      <c r="N433" s="10"/>
      <c r="O433" s="6"/>
      <c r="P433" s="6"/>
      <c r="Q433" s="6"/>
      <c r="R433" s="44"/>
    </row>
    <row r="434" spans="1:18" x14ac:dyDescent="0.25">
      <c r="A434" s="6"/>
      <c r="B434" s="6"/>
      <c r="C434" s="6"/>
      <c r="D434" s="7"/>
      <c r="E434" s="8"/>
      <c r="F434" s="9"/>
      <c r="G434" s="9"/>
      <c r="H434" s="3"/>
      <c r="I434" s="7"/>
      <c r="J434" s="7"/>
      <c r="K434" s="25"/>
      <c r="L434" s="10"/>
      <c r="M434" s="10"/>
      <c r="N434" s="10"/>
      <c r="O434" s="6"/>
      <c r="P434" s="6"/>
      <c r="Q434" s="6"/>
      <c r="R434" s="44"/>
    </row>
    <row r="435" spans="1:18" x14ac:dyDescent="0.25">
      <c r="A435" s="6"/>
      <c r="B435" s="6"/>
      <c r="C435" s="6"/>
      <c r="D435" s="7"/>
      <c r="E435" s="8"/>
      <c r="F435" s="9"/>
      <c r="G435" s="9"/>
      <c r="H435" s="3"/>
      <c r="I435" s="7"/>
      <c r="J435" s="7"/>
      <c r="K435" s="25"/>
      <c r="L435" s="10"/>
      <c r="M435" s="10"/>
      <c r="N435" s="10"/>
      <c r="O435" s="6"/>
      <c r="P435" s="6"/>
      <c r="Q435" s="6"/>
      <c r="R435" s="44"/>
    </row>
    <row r="436" spans="1:18" x14ac:dyDescent="0.25">
      <c r="A436" s="6"/>
      <c r="B436" s="6"/>
      <c r="C436" s="6"/>
      <c r="D436" s="7"/>
      <c r="E436" s="8"/>
      <c r="F436" s="9"/>
      <c r="G436" s="9"/>
      <c r="H436" s="3"/>
      <c r="I436" s="7"/>
      <c r="J436" s="7"/>
      <c r="K436" s="25"/>
      <c r="L436" s="10"/>
      <c r="M436" s="10"/>
      <c r="N436" s="10"/>
      <c r="O436" s="6"/>
      <c r="P436" s="6"/>
      <c r="Q436" s="6"/>
      <c r="R436" s="44"/>
    </row>
    <row r="437" spans="1:18" x14ac:dyDescent="0.25">
      <c r="D437" s="7"/>
      <c r="E437" s="8"/>
      <c r="F437" s="9"/>
      <c r="G437" s="9"/>
      <c r="H437" s="3"/>
      <c r="I437" s="7"/>
      <c r="J437" s="7"/>
      <c r="K437" s="25"/>
      <c r="L437" s="10"/>
      <c r="M437" s="10"/>
      <c r="N437" s="10"/>
    </row>
    <row r="438" spans="1:18" x14ac:dyDescent="0.25">
      <c r="D438" s="7"/>
      <c r="E438" s="8"/>
      <c r="F438" s="9"/>
      <c r="G438" s="9"/>
      <c r="H438" s="3"/>
      <c r="I438" s="7"/>
      <c r="J438" s="7"/>
      <c r="K438" s="25"/>
      <c r="L438" s="10"/>
      <c r="M438" s="10"/>
      <c r="N438" s="10"/>
    </row>
    <row r="439" spans="1:18" x14ac:dyDescent="0.25">
      <c r="D439" s="7"/>
      <c r="E439" s="8"/>
      <c r="F439" s="9"/>
      <c r="G439" s="9"/>
      <c r="H439" s="3"/>
      <c r="I439" s="7"/>
      <c r="J439" s="7"/>
      <c r="K439" s="25"/>
      <c r="L439" s="10"/>
      <c r="M439" s="10"/>
      <c r="N439" s="10"/>
    </row>
    <row r="440" spans="1:18" x14ac:dyDescent="0.25">
      <c r="D440" s="7"/>
      <c r="E440" s="8"/>
      <c r="F440" s="9"/>
      <c r="G440" s="9"/>
      <c r="H440" s="3"/>
      <c r="I440" s="7"/>
      <c r="J440" s="7"/>
      <c r="K440" s="25"/>
      <c r="L440" s="10"/>
      <c r="M440" s="10"/>
      <c r="N440" s="10"/>
    </row>
    <row r="441" spans="1:18" x14ac:dyDescent="0.25">
      <c r="D441" s="7"/>
      <c r="E441" s="8"/>
      <c r="F441" s="9"/>
      <c r="G441" s="9"/>
      <c r="H441" s="3"/>
      <c r="I441" s="7"/>
      <c r="J441" s="7"/>
      <c r="K441" s="25"/>
      <c r="L441" s="10"/>
      <c r="M441" s="10"/>
      <c r="N441" s="10"/>
    </row>
    <row r="442" spans="1:18" x14ac:dyDescent="0.25">
      <c r="D442" s="7"/>
      <c r="E442" s="8"/>
      <c r="F442" s="9"/>
      <c r="G442" s="9"/>
      <c r="H442" s="3"/>
      <c r="I442" s="7"/>
      <c r="J442" s="7"/>
      <c r="K442" s="25"/>
      <c r="L442" s="10"/>
      <c r="M442" s="10"/>
      <c r="N442" s="10"/>
    </row>
    <row r="443" spans="1:18" x14ac:dyDescent="0.25">
      <c r="D443" s="7"/>
      <c r="E443" s="8"/>
      <c r="F443" s="9"/>
      <c r="G443" s="9"/>
      <c r="H443" s="3"/>
      <c r="I443" s="7"/>
      <c r="J443" s="7"/>
      <c r="K443" s="25"/>
      <c r="L443" s="10"/>
      <c r="M443" s="10"/>
      <c r="N443" s="10"/>
    </row>
    <row r="444" spans="1:18" x14ac:dyDescent="0.25">
      <c r="A444" s="6"/>
      <c r="B444" s="6"/>
      <c r="C444" s="6"/>
      <c r="D444" s="7"/>
      <c r="E444" s="8"/>
      <c r="F444" s="9"/>
      <c r="G444" s="9"/>
      <c r="H444" s="3"/>
      <c r="I444" s="7"/>
      <c r="J444" s="7"/>
      <c r="K444" s="25"/>
      <c r="L444" s="10"/>
      <c r="M444" s="10"/>
      <c r="N444" s="10"/>
      <c r="O444" s="6"/>
      <c r="P444" s="6"/>
      <c r="Q444" s="6"/>
      <c r="R444" s="44"/>
    </row>
    <row r="445" spans="1:18" x14ac:dyDescent="0.25">
      <c r="A445" s="6"/>
      <c r="B445" s="6"/>
      <c r="C445" s="6"/>
      <c r="D445" s="7"/>
      <c r="E445" s="8"/>
      <c r="F445" s="9"/>
      <c r="G445" s="9"/>
      <c r="H445" s="3"/>
      <c r="I445" s="7"/>
      <c r="J445" s="7"/>
      <c r="K445" s="25"/>
      <c r="L445" s="10"/>
      <c r="M445" s="10"/>
      <c r="N445" s="10"/>
      <c r="O445" s="6"/>
      <c r="P445" s="6"/>
      <c r="Q445" s="6"/>
      <c r="R445" s="44"/>
    </row>
    <row r="446" spans="1:18" x14ac:dyDescent="0.25">
      <c r="A446" s="6"/>
      <c r="B446" s="6"/>
      <c r="C446" s="6"/>
      <c r="D446" s="7"/>
      <c r="E446" s="8"/>
      <c r="F446" s="9"/>
      <c r="G446" s="9"/>
      <c r="H446" s="3"/>
      <c r="I446" s="7"/>
      <c r="J446" s="7"/>
      <c r="K446" s="25"/>
      <c r="L446" s="10"/>
      <c r="M446" s="10"/>
      <c r="N446" s="10"/>
      <c r="O446" s="6"/>
      <c r="P446" s="6"/>
      <c r="Q446" s="6"/>
      <c r="R446" s="44"/>
    </row>
    <row r="447" spans="1:18" x14ac:dyDescent="0.25">
      <c r="A447" s="6"/>
      <c r="B447" s="6"/>
      <c r="C447" s="6"/>
      <c r="D447" s="7"/>
      <c r="E447" s="8"/>
      <c r="F447" s="9"/>
      <c r="G447" s="9"/>
      <c r="H447" s="3"/>
      <c r="I447" s="7"/>
      <c r="J447" s="7"/>
      <c r="K447" s="25"/>
      <c r="L447" s="10"/>
      <c r="M447" s="10"/>
      <c r="N447" s="10"/>
      <c r="O447" s="6"/>
      <c r="P447" s="6"/>
      <c r="Q447" s="6"/>
      <c r="R447" s="44"/>
    </row>
    <row r="448" spans="1:18" x14ac:dyDescent="0.25">
      <c r="A448" s="6"/>
      <c r="B448" s="6"/>
      <c r="C448" s="6"/>
      <c r="D448" s="7"/>
      <c r="E448" s="8"/>
      <c r="F448" s="9"/>
      <c r="G448" s="9"/>
      <c r="H448" s="3"/>
      <c r="I448" s="7"/>
      <c r="J448" s="7"/>
      <c r="K448" s="25"/>
      <c r="L448" s="10"/>
      <c r="M448" s="10"/>
      <c r="N448" s="10"/>
      <c r="O448" s="6"/>
      <c r="P448" s="6"/>
      <c r="Q448" s="6"/>
      <c r="R448" s="44"/>
    </row>
    <row r="449" spans="1:18" x14ac:dyDescent="0.25">
      <c r="A449" s="6"/>
      <c r="B449" s="6"/>
      <c r="C449" s="6"/>
      <c r="D449" s="7"/>
      <c r="E449" s="8"/>
      <c r="F449" s="9"/>
      <c r="G449" s="9"/>
      <c r="H449" s="3"/>
      <c r="I449" s="7"/>
      <c r="J449" s="7"/>
      <c r="K449" s="25"/>
      <c r="L449" s="10"/>
      <c r="M449" s="10"/>
      <c r="N449" s="10"/>
      <c r="O449" s="6"/>
      <c r="P449" s="6"/>
      <c r="Q449" s="6"/>
      <c r="R449" s="44"/>
    </row>
    <row r="450" spans="1:18" x14ac:dyDescent="0.25">
      <c r="A450" s="6"/>
      <c r="B450" s="6"/>
      <c r="C450" s="6"/>
      <c r="D450" s="7"/>
      <c r="E450" s="8"/>
      <c r="F450" s="9"/>
      <c r="G450" s="9"/>
      <c r="H450" s="3"/>
      <c r="I450" s="7"/>
      <c r="J450" s="7"/>
      <c r="K450" s="25"/>
      <c r="L450" s="10"/>
      <c r="M450" s="10"/>
      <c r="N450" s="10"/>
      <c r="O450" s="6"/>
      <c r="P450" s="6"/>
      <c r="Q450" s="6"/>
      <c r="R450" s="44"/>
    </row>
    <row r="451" spans="1:18" x14ac:dyDescent="0.25">
      <c r="A451" s="6"/>
      <c r="B451" s="6"/>
      <c r="C451" s="6"/>
      <c r="D451" s="7"/>
      <c r="E451" s="8"/>
      <c r="F451" s="9"/>
      <c r="G451" s="9"/>
      <c r="H451" s="3"/>
      <c r="I451" s="7"/>
      <c r="J451" s="7"/>
      <c r="K451" s="25"/>
      <c r="L451" s="10"/>
      <c r="M451" s="10"/>
      <c r="N451" s="10"/>
      <c r="O451" s="6"/>
      <c r="P451" s="6"/>
      <c r="Q451" s="6"/>
      <c r="R451" s="44"/>
    </row>
    <row r="452" spans="1:18" x14ac:dyDescent="0.25">
      <c r="A452" s="6"/>
      <c r="B452" s="6"/>
      <c r="C452" s="6"/>
      <c r="D452" s="7"/>
      <c r="E452" s="8"/>
      <c r="F452" s="9"/>
      <c r="G452" s="9"/>
      <c r="H452" s="3"/>
      <c r="I452" s="7"/>
      <c r="J452" s="7"/>
      <c r="K452" s="25"/>
      <c r="L452" s="10"/>
      <c r="M452" s="10"/>
      <c r="N452" s="10"/>
      <c r="O452" s="6"/>
      <c r="P452" s="6"/>
      <c r="Q452" s="6"/>
      <c r="R452" s="44"/>
    </row>
    <row r="453" spans="1:18" x14ac:dyDescent="0.25">
      <c r="A453" s="6"/>
      <c r="B453" s="6"/>
      <c r="C453" s="6"/>
      <c r="D453" s="7"/>
      <c r="E453" s="8"/>
      <c r="F453" s="9"/>
      <c r="G453" s="9"/>
      <c r="H453" s="3"/>
      <c r="I453" s="7"/>
      <c r="J453" s="7"/>
      <c r="K453" s="25"/>
      <c r="L453" s="10"/>
      <c r="M453" s="10"/>
      <c r="N453" s="10"/>
      <c r="O453" s="6"/>
      <c r="P453" s="6"/>
      <c r="Q453" s="6"/>
      <c r="R453" s="44"/>
    </row>
    <row r="454" spans="1:18" x14ac:dyDescent="0.25">
      <c r="A454" s="6"/>
      <c r="B454" s="6"/>
      <c r="C454" s="6"/>
      <c r="D454" s="7"/>
      <c r="E454" s="8"/>
      <c r="F454" s="9"/>
      <c r="G454" s="9"/>
      <c r="H454" s="3"/>
      <c r="I454" s="7"/>
      <c r="J454" s="7"/>
      <c r="K454" s="25"/>
      <c r="L454" s="10"/>
      <c r="M454" s="10"/>
      <c r="N454" s="10"/>
      <c r="O454" s="6"/>
      <c r="P454" s="6"/>
      <c r="Q454" s="6"/>
      <c r="R454" s="44"/>
    </row>
    <row r="455" spans="1:18" x14ac:dyDescent="0.25">
      <c r="A455" s="6"/>
      <c r="B455" s="6"/>
      <c r="C455" s="6"/>
      <c r="D455" s="7"/>
      <c r="E455" s="8"/>
      <c r="F455" s="9"/>
      <c r="G455" s="9"/>
      <c r="H455" s="3"/>
      <c r="I455" s="7"/>
      <c r="J455" s="7"/>
      <c r="K455" s="25"/>
      <c r="L455" s="10"/>
      <c r="M455" s="10"/>
      <c r="N455" s="10"/>
      <c r="O455" s="6"/>
      <c r="P455" s="6"/>
      <c r="Q455" s="6"/>
      <c r="R455" s="44"/>
    </row>
    <row r="456" spans="1:18" x14ac:dyDescent="0.25">
      <c r="A456" s="6"/>
      <c r="B456" s="6"/>
      <c r="C456" s="6"/>
      <c r="D456" s="7"/>
      <c r="E456" s="8"/>
      <c r="F456" s="9"/>
      <c r="G456" s="9"/>
      <c r="H456" s="3"/>
      <c r="I456" s="7"/>
      <c r="J456" s="7"/>
      <c r="K456" s="25"/>
      <c r="L456" s="10"/>
      <c r="M456" s="10"/>
      <c r="N456" s="10"/>
      <c r="O456" s="6"/>
      <c r="P456" s="6"/>
      <c r="Q456" s="6"/>
      <c r="R456" s="44"/>
    </row>
    <row r="457" spans="1:18" x14ac:dyDescent="0.25">
      <c r="D457" s="7"/>
      <c r="E457" s="8"/>
      <c r="F457" s="9"/>
      <c r="G457" s="9"/>
      <c r="H457" s="3"/>
      <c r="I457" s="7"/>
      <c r="J457" s="7"/>
      <c r="K457" s="25"/>
      <c r="L457" s="10"/>
      <c r="M457" s="10"/>
      <c r="N457" s="10"/>
    </row>
    <row r="458" spans="1:18" x14ac:dyDescent="0.25">
      <c r="D458" s="7"/>
      <c r="E458" s="8"/>
      <c r="F458" s="9"/>
      <c r="G458" s="9"/>
      <c r="H458" s="3"/>
      <c r="I458" s="7"/>
      <c r="J458" s="7"/>
      <c r="K458" s="25"/>
      <c r="L458" s="10"/>
      <c r="M458" s="10"/>
      <c r="N458" s="10"/>
    </row>
    <row r="459" spans="1:18" x14ac:dyDescent="0.25">
      <c r="D459" s="7"/>
      <c r="E459" s="8"/>
      <c r="F459" s="9"/>
      <c r="G459" s="9"/>
      <c r="H459" s="3"/>
      <c r="I459" s="7"/>
      <c r="J459" s="7"/>
      <c r="K459" s="25"/>
      <c r="L459" s="10"/>
      <c r="M459" s="10"/>
      <c r="N459" s="10"/>
    </row>
    <row r="460" spans="1:18" x14ac:dyDescent="0.25">
      <c r="D460" s="7"/>
      <c r="E460" s="8"/>
      <c r="F460" s="9"/>
      <c r="G460" s="9"/>
      <c r="H460" s="3"/>
      <c r="I460" s="7"/>
      <c r="J460" s="7"/>
      <c r="K460" s="25"/>
      <c r="L460" s="10"/>
      <c r="M460" s="10"/>
      <c r="N460" s="10"/>
    </row>
    <row r="461" spans="1:18" x14ac:dyDescent="0.25">
      <c r="D461" s="7"/>
      <c r="E461" s="8"/>
      <c r="F461" s="9"/>
      <c r="G461" s="9"/>
      <c r="H461" s="3"/>
      <c r="I461" s="7"/>
      <c r="J461" s="7"/>
      <c r="K461" s="25"/>
      <c r="L461" s="10"/>
      <c r="M461" s="10"/>
      <c r="N461" s="10"/>
    </row>
    <row r="462" spans="1:18" x14ac:dyDescent="0.25">
      <c r="D462" s="7"/>
      <c r="E462" s="8"/>
      <c r="F462" s="9"/>
      <c r="G462" s="9"/>
      <c r="H462" s="3"/>
      <c r="I462" s="7"/>
      <c r="J462" s="7"/>
      <c r="K462" s="25"/>
      <c r="L462" s="10"/>
      <c r="M462" s="10"/>
      <c r="N462" s="10"/>
    </row>
    <row r="463" spans="1:18" x14ac:dyDescent="0.25">
      <c r="D463" s="7"/>
      <c r="E463" s="8"/>
      <c r="F463" s="9"/>
      <c r="G463" s="9"/>
      <c r="H463" s="3"/>
      <c r="I463" s="7"/>
      <c r="J463" s="7"/>
      <c r="K463" s="25"/>
      <c r="L463" s="10"/>
      <c r="M463" s="10"/>
      <c r="N463" s="10"/>
    </row>
    <row r="464" spans="1:18" x14ac:dyDescent="0.25">
      <c r="D464" s="7"/>
      <c r="E464" s="8"/>
      <c r="F464" s="9"/>
      <c r="G464" s="9"/>
      <c r="H464" s="3"/>
      <c r="I464" s="7"/>
      <c r="J464" s="7"/>
      <c r="K464" s="25"/>
      <c r="L464" s="10"/>
      <c r="M464" s="10"/>
      <c r="N464" s="10"/>
    </row>
    <row r="465" spans="4:14" x14ac:dyDescent="0.25">
      <c r="D465" s="7"/>
      <c r="E465" s="8"/>
      <c r="F465" s="9"/>
      <c r="G465" s="9"/>
      <c r="H465" s="3"/>
      <c r="I465" s="7"/>
      <c r="J465" s="7"/>
      <c r="K465" s="25"/>
      <c r="L465" s="10"/>
      <c r="M465" s="10"/>
      <c r="N465" s="10"/>
    </row>
    <row r="466" spans="4:14" x14ac:dyDescent="0.25">
      <c r="D466" s="7"/>
      <c r="E466" s="8"/>
      <c r="F466" s="9"/>
      <c r="G466" s="9"/>
      <c r="H466" s="3"/>
      <c r="I466" s="7"/>
      <c r="J466" s="7"/>
      <c r="K466" s="25"/>
      <c r="L466" s="10"/>
      <c r="M466" s="10"/>
      <c r="N466" s="10"/>
    </row>
    <row r="467" spans="4:14" x14ac:dyDescent="0.25">
      <c r="D467" s="7"/>
      <c r="E467" s="8"/>
      <c r="F467" s="9"/>
      <c r="G467" s="9"/>
      <c r="H467" s="3"/>
      <c r="I467" s="7"/>
      <c r="J467" s="7"/>
      <c r="K467" s="25"/>
      <c r="L467" s="10"/>
      <c r="M467" s="10"/>
      <c r="N467" s="10"/>
    </row>
    <row r="468" spans="4:14" x14ac:dyDescent="0.25">
      <c r="D468" s="7"/>
      <c r="E468" s="8"/>
      <c r="F468" s="9"/>
      <c r="G468" s="9"/>
      <c r="H468" s="3"/>
      <c r="I468" s="7"/>
      <c r="J468" s="7"/>
      <c r="K468" s="25"/>
      <c r="L468" s="10"/>
      <c r="M468" s="10"/>
      <c r="N468" s="10"/>
    </row>
    <row r="469" spans="4:14" x14ac:dyDescent="0.25">
      <c r="D469" s="7"/>
      <c r="E469" s="8"/>
      <c r="F469" s="9"/>
      <c r="G469" s="9"/>
      <c r="H469" s="3"/>
      <c r="I469" s="7"/>
      <c r="J469" s="7"/>
      <c r="K469" s="25"/>
      <c r="L469" s="10"/>
      <c r="M469" s="10"/>
      <c r="N469" s="10"/>
    </row>
    <row r="470" spans="4:14" x14ac:dyDescent="0.25">
      <c r="D470" s="7"/>
      <c r="E470" s="8"/>
      <c r="F470" s="9"/>
      <c r="G470" s="9"/>
      <c r="H470" s="3"/>
      <c r="I470" s="7"/>
      <c r="J470" s="7"/>
      <c r="K470" s="25"/>
      <c r="L470" s="10"/>
      <c r="M470" s="10"/>
      <c r="N470" s="10"/>
    </row>
    <row r="471" spans="4:14" x14ac:dyDescent="0.25">
      <c r="E471" s="12"/>
      <c r="H471" s="12"/>
      <c r="K471" s="12"/>
      <c r="L471" s="12"/>
      <c r="M471" s="12"/>
      <c r="N471" s="12"/>
    </row>
    <row r="472" spans="4:14" x14ac:dyDescent="0.25">
      <c r="E472" s="12"/>
      <c r="H472" s="12"/>
      <c r="K472" s="12"/>
      <c r="L472" s="12"/>
      <c r="M472" s="12"/>
      <c r="N472" s="12"/>
    </row>
    <row r="473" spans="4:14" x14ac:dyDescent="0.25">
      <c r="E473" s="12"/>
      <c r="H473" s="12"/>
      <c r="K473" s="12"/>
      <c r="L473" s="12"/>
      <c r="M473" s="12"/>
      <c r="N473" s="12"/>
    </row>
    <row r="474" spans="4:14" x14ac:dyDescent="0.25">
      <c r="E474" s="12"/>
      <c r="H474" s="12"/>
      <c r="K474" s="12"/>
      <c r="L474" s="12"/>
      <c r="M474" s="12"/>
      <c r="N474" s="12"/>
    </row>
    <row r="475" spans="4:14" x14ac:dyDescent="0.25">
      <c r="E475" s="12"/>
      <c r="H475" s="12"/>
      <c r="K475" s="12"/>
      <c r="L475" s="12"/>
      <c r="M475" s="12"/>
      <c r="N475" s="12"/>
    </row>
    <row r="476" spans="4:14" x14ac:dyDescent="0.25">
      <c r="E476" s="12"/>
      <c r="H476" s="12"/>
      <c r="K476" s="12"/>
      <c r="L476" s="12"/>
      <c r="M476" s="12"/>
      <c r="N476" s="12"/>
    </row>
    <row r="477" spans="4:14" x14ac:dyDescent="0.25">
      <c r="E477" s="12"/>
      <c r="H477" s="12"/>
      <c r="K477" s="12"/>
      <c r="L477" s="12"/>
      <c r="M477" s="12"/>
      <c r="N477" s="12"/>
    </row>
    <row r="478" spans="4:14" x14ac:dyDescent="0.25">
      <c r="E478" s="12"/>
      <c r="H478" s="12"/>
      <c r="K478" s="12"/>
      <c r="L478" s="12"/>
      <c r="M478" s="12"/>
      <c r="N478" s="12"/>
    </row>
    <row r="479" spans="4:14" x14ac:dyDescent="0.25">
      <c r="E479" s="12"/>
      <c r="H479" s="12"/>
      <c r="K479" s="12"/>
      <c r="L479" s="12"/>
      <c r="M479" s="12"/>
      <c r="N479" s="12"/>
    </row>
    <row r="480" spans="4:14" x14ac:dyDescent="0.25">
      <c r="E480" s="12"/>
      <c r="H480" s="12"/>
      <c r="K480" s="12"/>
      <c r="L480" s="12"/>
      <c r="M480" s="12"/>
      <c r="N480" s="12"/>
    </row>
    <row r="481" spans="5:14" x14ac:dyDescent="0.25">
      <c r="E481" s="12"/>
      <c r="H481" s="12"/>
      <c r="K481" s="12"/>
      <c r="L481" s="12"/>
      <c r="M481" s="12"/>
      <c r="N481" s="12"/>
    </row>
    <row r="482" spans="5:14" x14ac:dyDescent="0.25">
      <c r="E482" s="12"/>
      <c r="H482" s="12"/>
      <c r="K482" s="12"/>
      <c r="L482" s="12"/>
      <c r="M482" s="12"/>
      <c r="N482" s="12"/>
    </row>
    <row r="483" spans="5:14" x14ac:dyDescent="0.25">
      <c r="E483" s="12"/>
      <c r="H483" s="12"/>
      <c r="K483" s="12"/>
      <c r="L483" s="12"/>
      <c r="M483" s="12"/>
      <c r="N483" s="12"/>
    </row>
    <row r="484" spans="5:14" x14ac:dyDescent="0.25">
      <c r="E484" s="12"/>
      <c r="H484" s="12"/>
      <c r="K484" s="12"/>
      <c r="L484" s="12"/>
      <c r="M484" s="12"/>
      <c r="N484" s="12"/>
    </row>
    <row r="485" spans="5:14" x14ac:dyDescent="0.25">
      <c r="E485" s="12"/>
      <c r="H485" s="12"/>
      <c r="K485" s="12"/>
      <c r="L485" s="12"/>
      <c r="M485" s="12"/>
      <c r="N485" s="12"/>
    </row>
    <row r="486" spans="5:14" x14ac:dyDescent="0.25">
      <c r="E486" s="12"/>
      <c r="H486" s="12"/>
      <c r="K486" s="12"/>
      <c r="L486" s="12"/>
      <c r="M486" s="12"/>
      <c r="N486" s="12"/>
    </row>
    <row r="487" spans="5:14" x14ac:dyDescent="0.25">
      <c r="E487" s="12"/>
      <c r="H487" s="12"/>
      <c r="K487" s="12"/>
      <c r="L487" s="12"/>
      <c r="M487" s="12"/>
      <c r="N487" s="12"/>
    </row>
    <row r="488" spans="5:14" x14ac:dyDescent="0.25">
      <c r="E488" s="12"/>
      <c r="H488" s="12"/>
      <c r="K488" s="12"/>
      <c r="L488" s="12"/>
      <c r="M488" s="12"/>
      <c r="N488" s="12"/>
    </row>
    <row r="489" spans="5:14" x14ac:dyDescent="0.25">
      <c r="E489" s="12"/>
      <c r="H489" s="12"/>
      <c r="K489" s="12"/>
      <c r="L489" s="12"/>
      <c r="M489" s="12"/>
      <c r="N489" s="12"/>
    </row>
    <row r="490" spans="5:14" x14ac:dyDescent="0.25">
      <c r="E490" s="12"/>
      <c r="H490" s="12"/>
      <c r="K490" s="12"/>
      <c r="L490" s="12"/>
      <c r="M490" s="12"/>
      <c r="N490" s="12"/>
    </row>
    <row r="491" spans="5:14" x14ac:dyDescent="0.25">
      <c r="E491" s="12"/>
      <c r="H491" s="12"/>
      <c r="K491" s="12"/>
      <c r="L491" s="12"/>
      <c r="M491" s="12"/>
      <c r="N491" s="12"/>
    </row>
    <row r="492" spans="5:14" x14ac:dyDescent="0.25">
      <c r="E492" s="12"/>
      <c r="H492" s="12"/>
      <c r="K492" s="12"/>
      <c r="L492" s="12"/>
      <c r="M492" s="12"/>
      <c r="N492" s="12"/>
    </row>
    <row r="493" spans="5:14" x14ac:dyDescent="0.25">
      <c r="E493" s="12"/>
      <c r="H493" s="12"/>
      <c r="K493" s="12"/>
      <c r="L493" s="12"/>
      <c r="M493" s="12"/>
      <c r="N493" s="12"/>
    </row>
    <row r="494" spans="5:14" x14ac:dyDescent="0.25">
      <c r="E494" s="12"/>
      <c r="H494" s="12"/>
      <c r="K494" s="12"/>
      <c r="L494" s="12"/>
      <c r="M494" s="12"/>
      <c r="N494" s="12"/>
    </row>
    <row r="495" spans="5:14" x14ac:dyDescent="0.25">
      <c r="E495" s="12"/>
      <c r="H495" s="12"/>
      <c r="K495" s="12"/>
      <c r="L495" s="12"/>
      <c r="M495" s="12"/>
      <c r="N495" s="12"/>
    </row>
    <row r="496" spans="5:14" x14ac:dyDescent="0.25">
      <c r="E496" s="12"/>
      <c r="H496" s="12"/>
      <c r="K496" s="12"/>
      <c r="L496" s="12"/>
      <c r="M496" s="12"/>
      <c r="N496" s="12"/>
    </row>
    <row r="497" spans="5:14" x14ac:dyDescent="0.25">
      <c r="E497" s="12"/>
      <c r="H497" s="12"/>
      <c r="K497" s="12"/>
      <c r="L497" s="12"/>
      <c r="M497" s="12"/>
      <c r="N497" s="12"/>
    </row>
    <row r="498" spans="5:14" x14ac:dyDescent="0.25">
      <c r="E498" s="12"/>
      <c r="H498" s="12"/>
      <c r="K498" s="12"/>
      <c r="L498" s="12"/>
      <c r="M498" s="12"/>
      <c r="N498" s="12"/>
    </row>
    <row r="499" spans="5:14" x14ac:dyDescent="0.25">
      <c r="E499" s="12"/>
      <c r="H499" s="12"/>
      <c r="K499" s="12"/>
      <c r="L499" s="12"/>
      <c r="M499" s="12"/>
      <c r="N499" s="12"/>
    </row>
    <row r="500" spans="5:14" x14ac:dyDescent="0.25">
      <c r="E500" s="12"/>
      <c r="H500" s="12"/>
      <c r="K500" s="12"/>
      <c r="L500" s="12"/>
      <c r="M500" s="12"/>
      <c r="N500" s="12"/>
    </row>
    <row r="501" spans="5:14" x14ac:dyDescent="0.25">
      <c r="E501" s="12"/>
      <c r="H501" s="12"/>
      <c r="K501" s="12"/>
      <c r="L501" s="12"/>
      <c r="M501" s="12"/>
      <c r="N501" s="12"/>
    </row>
    <row r="502" spans="5:14" x14ac:dyDescent="0.25">
      <c r="E502" s="12"/>
      <c r="H502" s="12"/>
      <c r="K502" s="12"/>
      <c r="L502" s="12"/>
      <c r="M502" s="12"/>
      <c r="N502" s="12"/>
    </row>
    <row r="503" spans="5:14" x14ac:dyDescent="0.25">
      <c r="E503" s="12"/>
      <c r="H503" s="12"/>
    </row>
    <row r="1048564" spans="1:14" x14ac:dyDescent="0.25">
      <c r="M1048564" s="7"/>
    </row>
    <row r="1048565" spans="1:14" x14ac:dyDescent="0.25">
      <c r="M1048565" s="7"/>
    </row>
    <row r="1048567" spans="1:14" x14ac:dyDescent="0.25">
      <c r="A1048567" s="11" t="s">
        <v>69</v>
      </c>
      <c r="D1048567" s="7" t="str">
        <f t="shared" ref="D1048567" si="0">MID($R1048567,11,23)</f>
        <v/>
      </c>
      <c r="E1048567" s="8">
        <f ca="1">IFERROR(VLOOKUP($B1048567,'Data Anterior'!$B:$R,4,0),TODAY()-1)</f>
        <v>44654</v>
      </c>
      <c r="F1048567" s="9">
        <f ca="1">WORKDAY($E1048567,5,Festivos!$A$2:$A$19)</f>
        <v>44659</v>
      </c>
      <c r="G1048567" s="9">
        <f ca="1">TODAY()</f>
        <v>44655</v>
      </c>
      <c r="H1048567" s="3">
        <f ca="1">NETWORKDAYS.INTL($E1048567,$G1048567,1,Festivos!$A$2:$A$19)</f>
        <v>1</v>
      </c>
      <c r="I1048567" s="7" t="str">
        <f t="shared" ref="I1048567" ca="1" si="1">UPPER(TEXT($E1048567,"MMMM"))</f>
        <v>ABRIL</v>
      </c>
      <c r="J1048567" s="7" t="str">
        <f t="shared" ref="J1048567" ca="1" si="2">IF($H1048567&gt;3,"NOTIFICAR","EN GESTIÓN")</f>
        <v>EN GESTIÓN</v>
      </c>
      <c r="K1048567" s="25" t="str">
        <f ca="1">IFERROR(IF(AND(VLOOKUP($B1048567,'Data Anterior'!$B:$N,10,0)="",J1048567="EN GESTIÓN"),"",IF(AND(VLOOKUP($B1048567,'Data Anterior'!$B:$N,10,0)="",$J1048567="NOTIFICAR"),$A1048567,VLOOKUP($B1048567,'Data Anterior'!$B:$S,10,0))),"")</f>
        <v/>
      </c>
      <c r="L1048567" s="10" t="str">
        <f ca="1">IFERROR(IF(AND(VLOOKUP($B1048567,'Data Anterior'!$B:$N,10,0)="",J1048567="EN GESTIÓN"),"",IF(AND(VLOOKUP($B1048567,'Data Anterior'!$B:$N,10,0)="",$J1048567="NOTIFICAR"),"PENDIENTE",VLOOKUP($B1048567,'Data Anterior'!$B:$N,11,0))),"")</f>
        <v/>
      </c>
      <c r="M1048567" s="10" t="e">
        <f>IFERROR(IF(VLOOKUP($B1048567,'Data Anterior'!$B:$N,12,0)=Festivos!$L$2,VLOOKUP($B1048567,'Data Anterior'!$B:$N,12,0),VLOOKUP(CONCATENATE($P1048567,"-",$O1048567),Festivos!$G:$J,4,0)),VLOOKUP(CONCATENATE($P1048567,"-",$O1048567),Festivos!$G:$J,4,0))</f>
        <v>#N/A</v>
      </c>
      <c r="N1048567" s="10" t="str">
        <f>IFERROR(IF(VLOOKUP($B1048567,'Data Anterior'!$B:$N,13,0)="","",VLOOKUP($B1048567,'Data Anterior'!$B:$N,13,0)),"")</f>
        <v/>
      </c>
    </row>
    <row r="1048568" spans="1:14" x14ac:dyDescent="0.25">
      <c r="M1048568" s="10" t="e">
        <f>VLOOKUP(CONCATENATE($P1048568,"-",$O1048568),Festivos!$G$1:$J$39,4,0)</f>
        <v>#N/A</v>
      </c>
    </row>
    <row r="1048569" spans="1:14" x14ac:dyDescent="0.25">
      <c r="M1048569" s="10" t="e">
        <f>VLOOKUP($B1048569,'Data Anterior'!$B:$N,12,0)</f>
        <v>#N/A</v>
      </c>
    </row>
  </sheetData>
  <conditionalFormatting sqref="D3">
    <cfRule type="duplicateValues" dxfId="1" priority="61"/>
  </conditionalFormatting>
  <conditionalFormatting sqref="E3">
    <cfRule type="duplicateValues" dxfId="0" priority="121"/>
  </conditionalFormatting>
  <conditionalFormatting sqref="H1048567">
    <cfRule type="iconSet" priority="122">
      <iconSet iconSet="3Symbols" reverse="1">
        <cfvo type="percent" val="0"/>
        <cfvo type="num" val="6"/>
        <cfvo type="num" val="10"/>
      </iconSet>
    </cfRule>
  </conditionalFormatting>
  <conditionalFormatting sqref="H461:H470">
    <cfRule type="iconSet" priority="23">
      <iconSet iconSet="3Symbols" reverse="1">
        <cfvo type="percent" val="0"/>
        <cfvo type="num" val="6"/>
        <cfvo type="num" val="10"/>
      </iconSet>
    </cfRule>
  </conditionalFormatting>
  <conditionalFormatting sqref="H450:H460">
    <cfRule type="iconSet" priority="21">
      <iconSet iconSet="3Symbols" reverse="1">
        <cfvo type="percent" val="0"/>
        <cfvo type="num" val="6"/>
        <cfvo type="num" val="10"/>
      </iconSet>
    </cfRule>
  </conditionalFormatting>
  <conditionalFormatting sqref="H383:H449">
    <cfRule type="iconSet" priority="19">
      <iconSet iconSet="3Symbols" reverse="1">
        <cfvo type="percent" val="0"/>
        <cfvo type="num" val="6"/>
        <cfvo type="num" val="10"/>
      </iconSet>
    </cfRule>
  </conditionalFormatting>
  <conditionalFormatting sqref="H366:H382">
    <cfRule type="iconSet" priority="13">
      <iconSet iconSet="3Symbols" reverse="1">
        <cfvo type="percent" val="0"/>
        <cfvo type="num" val="6"/>
        <cfvo type="num" val="10"/>
      </iconSet>
    </cfRule>
  </conditionalFormatting>
  <conditionalFormatting sqref="H364:H365">
    <cfRule type="iconSet" priority="11">
      <iconSet iconSet="3Symbols" reverse="1">
        <cfvo type="percent" val="0"/>
        <cfvo type="num" val="6"/>
        <cfvo type="num" val="10"/>
      </iconSet>
    </cfRule>
  </conditionalFormatting>
  <conditionalFormatting sqref="H349:H363">
    <cfRule type="iconSet" priority="7">
      <iconSet iconSet="3Symbols" reverse="1">
        <cfvo type="percent" val="0"/>
        <cfvo type="num" val="6"/>
        <cfvo type="num" val="10"/>
      </iconSet>
    </cfRule>
  </conditionalFormatting>
  <conditionalFormatting sqref="H260:H348">
    <cfRule type="iconSet" priority="5">
      <iconSet iconSet="3Symbols" reverse="1">
        <cfvo type="percent" val="0"/>
        <cfvo type="num" val="6"/>
        <cfvo type="num" val="10"/>
      </iconSet>
    </cfRule>
  </conditionalFormatting>
  <conditionalFormatting sqref="H4:H259">
    <cfRule type="iconSet" priority="1">
      <iconSet iconSet="3Symbols" reverse="1">
        <cfvo type="percent" val="0"/>
        <cfvo type="num" val="6"/>
        <cfvo type="num" val="10"/>
      </iconSet>
    </cfRule>
  </conditionalFormatting>
  <pageMargins left="0.75" right="0.75" top="0.75" bottom="0.5" header="0.5" footer="0.7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219075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FF0CA-C0C3-4DEC-8CEA-6FCE48529AA7}">
  <sheetPr codeName="Hoja3"/>
  <dimension ref="B1:P74"/>
  <sheetViews>
    <sheetView showGridLines="0" zoomScale="70" zoomScaleNormal="70" workbookViewId="0">
      <selection activeCell="B5" sqref="B5"/>
    </sheetView>
  </sheetViews>
  <sheetFormatPr baseColWidth="10" defaultRowHeight="15" x14ac:dyDescent="0.25"/>
  <cols>
    <col min="2" max="2" width="40" bestFit="1" customWidth="1"/>
    <col min="3" max="3" width="19.5703125" bestFit="1" customWidth="1"/>
    <col min="4" max="4" width="28.28515625" bestFit="1" customWidth="1"/>
    <col min="5" max="5" width="33" bestFit="1" customWidth="1"/>
    <col min="6" max="6" width="10.28515625" bestFit="1" customWidth="1"/>
    <col min="7" max="7" width="20.7109375" bestFit="1" customWidth="1"/>
    <col min="8" max="9" width="13.5703125" bestFit="1" customWidth="1"/>
    <col min="10" max="10" width="22" bestFit="1" customWidth="1"/>
    <col min="11" max="11" width="40" bestFit="1" customWidth="1"/>
    <col min="12" max="12" width="28.28515625" bestFit="1" customWidth="1"/>
    <col min="13" max="13" width="33" bestFit="1" customWidth="1"/>
    <col min="14" max="14" width="10.28515625" bestFit="1" customWidth="1"/>
    <col min="15" max="15" width="20.7109375" bestFit="1" customWidth="1"/>
    <col min="16" max="16" width="13.5703125" bestFit="1" customWidth="1"/>
  </cols>
  <sheetData>
    <row r="1" spans="2:16" x14ac:dyDescent="0.25">
      <c r="J1" s="46" t="s">
        <v>108</v>
      </c>
      <c r="K1" s="46"/>
    </row>
    <row r="2" spans="2:16" x14ac:dyDescent="0.25">
      <c r="B2" s="46" t="s">
        <v>63</v>
      </c>
      <c r="C2" s="46"/>
    </row>
    <row r="3" spans="2:16" x14ac:dyDescent="0.25">
      <c r="J3" s="1" t="s">
        <v>53</v>
      </c>
      <c r="K3" s="1" t="s">
        <v>52</v>
      </c>
    </row>
    <row r="4" spans="2:16" x14ac:dyDescent="0.25">
      <c r="B4" s="1" t="s">
        <v>31</v>
      </c>
      <c r="C4" t="s">
        <v>33</v>
      </c>
      <c r="J4" s="1" t="s">
        <v>31</v>
      </c>
      <c r="K4" t="s">
        <v>8</v>
      </c>
      <c r="L4" t="s">
        <v>26</v>
      </c>
      <c r="M4" t="s">
        <v>27</v>
      </c>
      <c r="N4" t="s">
        <v>28</v>
      </c>
      <c r="O4" t="s">
        <v>68</v>
      </c>
      <c r="P4" t="s">
        <v>32</v>
      </c>
    </row>
    <row r="5" spans="2:16" x14ac:dyDescent="0.25">
      <c r="B5" s="2" t="s">
        <v>8</v>
      </c>
      <c r="C5">
        <v>211</v>
      </c>
      <c r="J5" s="2" t="s">
        <v>54</v>
      </c>
      <c r="K5">
        <v>1</v>
      </c>
      <c r="P5">
        <v>1</v>
      </c>
    </row>
    <row r="6" spans="2:16" x14ac:dyDescent="0.25">
      <c r="B6" s="2" t="s">
        <v>26</v>
      </c>
      <c r="C6">
        <v>35</v>
      </c>
      <c r="J6" s="20" t="s">
        <v>105</v>
      </c>
      <c r="K6">
        <v>1</v>
      </c>
      <c r="P6">
        <v>1</v>
      </c>
    </row>
    <row r="7" spans="2:16" x14ac:dyDescent="0.25">
      <c r="B7" s="2" t="s">
        <v>27</v>
      </c>
      <c r="C7">
        <v>6</v>
      </c>
      <c r="J7" s="2" t="s">
        <v>55</v>
      </c>
      <c r="K7">
        <v>135</v>
      </c>
      <c r="L7">
        <v>23</v>
      </c>
      <c r="M7">
        <v>1</v>
      </c>
      <c r="N7">
        <v>1</v>
      </c>
      <c r="P7">
        <v>160</v>
      </c>
    </row>
    <row r="8" spans="2:16" x14ac:dyDescent="0.25">
      <c r="B8" s="2" t="s">
        <v>28</v>
      </c>
      <c r="C8">
        <v>3</v>
      </c>
      <c r="J8" s="20" t="s">
        <v>114</v>
      </c>
      <c r="K8">
        <v>3</v>
      </c>
      <c r="P8">
        <v>3</v>
      </c>
    </row>
    <row r="9" spans="2:16" x14ac:dyDescent="0.25">
      <c r="B9" s="2" t="s">
        <v>68</v>
      </c>
      <c r="C9">
        <v>1</v>
      </c>
      <c r="J9" s="20" t="s">
        <v>121</v>
      </c>
      <c r="K9">
        <v>2</v>
      </c>
      <c r="P9">
        <v>2</v>
      </c>
    </row>
    <row r="10" spans="2:16" x14ac:dyDescent="0.25">
      <c r="B10" s="2" t="s">
        <v>32</v>
      </c>
      <c r="C10">
        <v>256</v>
      </c>
      <c r="J10" s="20" t="s">
        <v>135</v>
      </c>
      <c r="L10">
        <v>1</v>
      </c>
      <c r="P10">
        <v>1</v>
      </c>
    </row>
    <row r="11" spans="2:16" x14ac:dyDescent="0.25">
      <c r="J11" s="20" t="s">
        <v>142</v>
      </c>
      <c r="K11">
        <v>1</v>
      </c>
      <c r="P11">
        <v>1</v>
      </c>
    </row>
    <row r="12" spans="2:16" x14ac:dyDescent="0.25">
      <c r="B12" s="46" t="s">
        <v>80</v>
      </c>
      <c r="C12" s="46"/>
      <c r="J12" s="20" t="s">
        <v>147</v>
      </c>
      <c r="K12">
        <v>1</v>
      </c>
      <c r="P12">
        <v>1</v>
      </c>
    </row>
    <row r="13" spans="2:16" x14ac:dyDescent="0.25">
      <c r="J13" s="20" t="s">
        <v>175</v>
      </c>
      <c r="K13">
        <v>3</v>
      </c>
      <c r="L13">
        <v>3</v>
      </c>
      <c r="P13">
        <v>6</v>
      </c>
    </row>
    <row r="14" spans="2:16" x14ac:dyDescent="0.25">
      <c r="B14" s="1" t="s">
        <v>4</v>
      </c>
      <c r="C14" t="s">
        <v>104</v>
      </c>
      <c r="J14" s="20" t="s">
        <v>176</v>
      </c>
      <c r="K14">
        <v>2</v>
      </c>
      <c r="L14">
        <v>2</v>
      </c>
      <c r="P14">
        <v>4</v>
      </c>
    </row>
    <row r="15" spans="2:16" x14ac:dyDescent="0.25">
      <c r="J15" s="20" t="s">
        <v>204</v>
      </c>
      <c r="K15">
        <v>8</v>
      </c>
      <c r="P15">
        <v>8</v>
      </c>
    </row>
    <row r="16" spans="2:16" x14ac:dyDescent="0.25">
      <c r="B16" s="1" t="s">
        <v>51</v>
      </c>
      <c r="C16" s="1" t="s">
        <v>52</v>
      </c>
      <c r="J16" s="20" t="s">
        <v>230</v>
      </c>
      <c r="K16">
        <v>8</v>
      </c>
      <c r="L16">
        <v>1</v>
      </c>
      <c r="P16">
        <v>9</v>
      </c>
    </row>
    <row r="17" spans="2:16" x14ac:dyDescent="0.25">
      <c r="B17" s="1" t="s">
        <v>31</v>
      </c>
      <c r="C17" t="s">
        <v>26</v>
      </c>
      <c r="D17" t="s">
        <v>8</v>
      </c>
      <c r="E17" t="s">
        <v>27</v>
      </c>
      <c r="F17" t="s">
        <v>28</v>
      </c>
      <c r="G17" t="s">
        <v>68</v>
      </c>
      <c r="H17" t="s">
        <v>32</v>
      </c>
      <c r="J17" s="20" t="s">
        <v>335</v>
      </c>
      <c r="K17">
        <v>46</v>
      </c>
      <c r="L17">
        <v>6</v>
      </c>
      <c r="P17">
        <v>52</v>
      </c>
    </row>
    <row r="18" spans="2:16" x14ac:dyDescent="0.25">
      <c r="B18" s="2" t="s">
        <v>21</v>
      </c>
      <c r="D18">
        <v>88</v>
      </c>
      <c r="H18">
        <v>88</v>
      </c>
      <c r="J18" s="20" t="s">
        <v>449</v>
      </c>
      <c r="K18">
        <v>20</v>
      </c>
      <c r="L18">
        <v>5</v>
      </c>
      <c r="P18">
        <v>25</v>
      </c>
    </row>
    <row r="19" spans="2:16" x14ac:dyDescent="0.25">
      <c r="B19" s="2" t="s">
        <v>17</v>
      </c>
      <c r="C19">
        <v>18</v>
      </c>
      <c r="D19">
        <v>26</v>
      </c>
      <c r="H19">
        <v>44</v>
      </c>
      <c r="J19" s="20" t="s">
        <v>648</v>
      </c>
      <c r="K19">
        <v>41</v>
      </c>
      <c r="L19">
        <v>5</v>
      </c>
      <c r="M19">
        <v>1</v>
      </c>
      <c r="N19">
        <v>1</v>
      </c>
      <c r="P19">
        <v>48</v>
      </c>
    </row>
    <row r="20" spans="2:16" x14ac:dyDescent="0.25">
      <c r="B20" s="2" t="s">
        <v>15</v>
      </c>
      <c r="C20">
        <v>16</v>
      </c>
      <c r="D20">
        <v>27</v>
      </c>
      <c r="H20">
        <v>43</v>
      </c>
      <c r="J20" s="2" t="s">
        <v>913</v>
      </c>
      <c r="K20">
        <v>75</v>
      </c>
      <c r="L20">
        <v>12</v>
      </c>
      <c r="M20">
        <v>5</v>
      </c>
      <c r="N20">
        <v>2</v>
      </c>
      <c r="O20">
        <v>1</v>
      </c>
      <c r="P20">
        <v>95</v>
      </c>
    </row>
    <row r="21" spans="2:16" x14ac:dyDescent="0.25">
      <c r="B21" s="2" t="s">
        <v>23</v>
      </c>
      <c r="D21">
        <v>30</v>
      </c>
      <c r="H21">
        <v>30</v>
      </c>
      <c r="J21" s="2" t="s">
        <v>32</v>
      </c>
      <c r="K21">
        <v>211</v>
      </c>
      <c r="L21">
        <v>35</v>
      </c>
      <c r="M21">
        <v>6</v>
      </c>
      <c r="N21">
        <v>3</v>
      </c>
      <c r="O21">
        <v>1</v>
      </c>
      <c r="P21">
        <v>256</v>
      </c>
    </row>
    <row r="22" spans="2:16" x14ac:dyDescent="0.25">
      <c r="B22" s="2" t="s">
        <v>75</v>
      </c>
      <c r="D22">
        <v>16</v>
      </c>
      <c r="H22">
        <v>16</v>
      </c>
    </row>
    <row r="23" spans="2:16" x14ac:dyDescent="0.25">
      <c r="B23" s="2" t="s">
        <v>76</v>
      </c>
      <c r="D23">
        <v>13</v>
      </c>
      <c r="H23">
        <v>13</v>
      </c>
    </row>
    <row r="24" spans="2:16" x14ac:dyDescent="0.25">
      <c r="B24" s="2" t="s">
        <v>137</v>
      </c>
      <c r="D24">
        <v>9</v>
      </c>
      <c r="H24">
        <v>9</v>
      </c>
    </row>
    <row r="25" spans="2:16" x14ac:dyDescent="0.25">
      <c r="B25" s="2" t="s">
        <v>22</v>
      </c>
      <c r="E25">
        <v>6</v>
      </c>
      <c r="F25">
        <v>3</v>
      </c>
      <c r="H25">
        <v>9</v>
      </c>
    </row>
    <row r="26" spans="2:16" x14ac:dyDescent="0.25">
      <c r="B26" s="2" t="s">
        <v>119</v>
      </c>
      <c r="C26">
        <v>1</v>
      </c>
      <c r="D26">
        <v>2</v>
      </c>
      <c r="H26">
        <v>3</v>
      </c>
    </row>
    <row r="27" spans="2:16" x14ac:dyDescent="0.25">
      <c r="B27" s="2" t="s">
        <v>16</v>
      </c>
      <c r="G27">
        <v>1</v>
      </c>
      <c r="H27">
        <v>1</v>
      </c>
    </row>
    <row r="28" spans="2:16" x14ac:dyDescent="0.25">
      <c r="B28" s="2" t="s">
        <v>32</v>
      </c>
      <c r="C28">
        <v>35</v>
      </c>
      <c r="D28">
        <v>211</v>
      </c>
      <c r="E28">
        <v>6</v>
      </c>
      <c r="F28">
        <v>3</v>
      </c>
      <c r="G28">
        <v>1</v>
      </c>
      <c r="H28">
        <v>256</v>
      </c>
    </row>
    <row r="34" spans="2:8" x14ac:dyDescent="0.25">
      <c r="B34" s="2"/>
    </row>
    <row r="35" spans="2:8" x14ac:dyDescent="0.25">
      <c r="B35" s="46" t="s">
        <v>64</v>
      </c>
      <c r="C35" s="46"/>
    </row>
    <row r="36" spans="2:8" x14ac:dyDescent="0.25">
      <c r="B36" s="2"/>
    </row>
    <row r="37" spans="2:8" x14ac:dyDescent="0.25">
      <c r="B37" s="1" t="s">
        <v>53</v>
      </c>
      <c r="C37" s="1" t="s">
        <v>52</v>
      </c>
    </row>
    <row r="38" spans="2:8" x14ac:dyDescent="0.25">
      <c r="B38" s="1" t="s">
        <v>31</v>
      </c>
      <c r="C38" t="s">
        <v>8</v>
      </c>
      <c r="D38" t="s">
        <v>26</v>
      </c>
      <c r="E38" t="s">
        <v>27</v>
      </c>
      <c r="F38" t="s">
        <v>28</v>
      </c>
      <c r="G38" t="s">
        <v>68</v>
      </c>
      <c r="H38" t="s">
        <v>32</v>
      </c>
    </row>
    <row r="39" spans="2:8" x14ac:dyDescent="0.25">
      <c r="B39" s="2" t="s">
        <v>47</v>
      </c>
      <c r="C39">
        <v>82</v>
      </c>
      <c r="D39">
        <v>30</v>
      </c>
      <c r="E39">
        <v>6</v>
      </c>
      <c r="F39">
        <v>3</v>
      </c>
      <c r="G39">
        <v>1</v>
      </c>
      <c r="H39">
        <v>122</v>
      </c>
    </row>
    <row r="40" spans="2:8" x14ac:dyDescent="0.25">
      <c r="B40" s="2" t="s">
        <v>49</v>
      </c>
      <c r="C40">
        <v>96</v>
      </c>
      <c r="D40">
        <v>2</v>
      </c>
      <c r="H40">
        <v>98</v>
      </c>
    </row>
    <row r="41" spans="2:8" x14ac:dyDescent="0.25">
      <c r="B41" s="2" t="s">
        <v>50</v>
      </c>
      <c r="C41">
        <v>30</v>
      </c>
      <c r="H41">
        <v>30</v>
      </c>
    </row>
    <row r="42" spans="2:8" x14ac:dyDescent="0.25">
      <c r="B42" s="2" t="s">
        <v>48</v>
      </c>
      <c r="D42">
        <v>3</v>
      </c>
      <c r="H42">
        <v>3</v>
      </c>
    </row>
    <row r="43" spans="2:8" x14ac:dyDescent="0.25">
      <c r="B43" s="2" t="s">
        <v>66</v>
      </c>
      <c r="C43">
        <v>2</v>
      </c>
      <c r="H43">
        <v>2</v>
      </c>
    </row>
    <row r="44" spans="2:8" x14ac:dyDescent="0.25">
      <c r="B44" s="2" t="s">
        <v>45</v>
      </c>
      <c r="C44">
        <v>1</v>
      </c>
      <c r="H44">
        <v>1</v>
      </c>
    </row>
    <row r="45" spans="2:8" x14ac:dyDescent="0.25">
      <c r="B45" s="2" t="s">
        <v>32</v>
      </c>
      <c r="C45">
        <v>211</v>
      </c>
      <c r="D45">
        <v>35</v>
      </c>
      <c r="E45">
        <v>6</v>
      </c>
      <c r="F45">
        <v>3</v>
      </c>
      <c r="G45">
        <v>1</v>
      </c>
      <c r="H45">
        <v>256</v>
      </c>
    </row>
    <row r="50" spans="2:8" x14ac:dyDescent="0.25">
      <c r="B50" s="2"/>
    </row>
    <row r="51" spans="2:8" x14ac:dyDescent="0.25">
      <c r="B51" s="46" t="s">
        <v>106</v>
      </c>
      <c r="C51" s="46"/>
    </row>
    <row r="53" spans="2:8" x14ac:dyDescent="0.25">
      <c r="B53" s="1" t="s">
        <v>53</v>
      </c>
      <c r="C53" s="1" t="s">
        <v>52</v>
      </c>
    </row>
    <row r="54" spans="2:8" x14ac:dyDescent="0.25">
      <c r="B54" s="1" t="s">
        <v>31</v>
      </c>
      <c r="C54" t="s">
        <v>8</v>
      </c>
      <c r="D54" t="s">
        <v>26</v>
      </c>
      <c r="E54" t="s">
        <v>27</v>
      </c>
      <c r="F54" t="s">
        <v>28</v>
      </c>
      <c r="G54" t="s">
        <v>68</v>
      </c>
      <c r="H54" t="s">
        <v>32</v>
      </c>
    </row>
    <row r="55" spans="2:8" x14ac:dyDescent="0.25">
      <c r="B55" s="2" t="s">
        <v>54</v>
      </c>
      <c r="C55">
        <v>1</v>
      </c>
      <c r="H55">
        <v>1</v>
      </c>
    </row>
    <row r="56" spans="2:8" x14ac:dyDescent="0.25">
      <c r="B56" s="2" t="s">
        <v>55</v>
      </c>
      <c r="C56">
        <v>135</v>
      </c>
      <c r="D56">
        <v>23</v>
      </c>
      <c r="E56">
        <v>1</v>
      </c>
      <c r="F56">
        <v>1</v>
      </c>
      <c r="H56">
        <v>160</v>
      </c>
    </row>
    <row r="57" spans="2:8" x14ac:dyDescent="0.25">
      <c r="B57" s="2" t="s">
        <v>913</v>
      </c>
      <c r="C57">
        <v>75</v>
      </c>
      <c r="D57">
        <v>12</v>
      </c>
      <c r="E57">
        <v>5</v>
      </c>
      <c r="F57">
        <v>2</v>
      </c>
      <c r="G57">
        <v>1</v>
      </c>
      <c r="H57">
        <v>95</v>
      </c>
    </row>
    <row r="58" spans="2:8" x14ac:dyDescent="0.25">
      <c r="B58" s="2" t="s">
        <v>32</v>
      </c>
      <c r="C58">
        <v>211</v>
      </c>
      <c r="D58">
        <v>35</v>
      </c>
      <c r="E58">
        <v>6</v>
      </c>
      <c r="F58">
        <v>3</v>
      </c>
      <c r="G58">
        <v>1</v>
      </c>
      <c r="H58">
        <v>256</v>
      </c>
    </row>
    <row r="61" spans="2:8" x14ac:dyDescent="0.25">
      <c r="B61" s="46" t="s">
        <v>107</v>
      </c>
      <c r="C61" s="46"/>
    </row>
    <row r="63" spans="2:8" x14ac:dyDescent="0.25">
      <c r="B63" s="1" t="s">
        <v>41</v>
      </c>
      <c r="C63" t="s">
        <v>44</v>
      </c>
    </row>
    <row r="65" spans="2:5" x14ac:dyDescent="0.25">
      <c r="B65" s="1" t="s">
        <v>56</v>
      </c>
      <c r="C65" s="1" t="s">
        <v>52</v>
      </c>
    </row>
    <row r="66" spans="2:5" x14ac:dyDescent="0.25">
      <c r="B66" s="1" t="s">
        <v>58</v>
      </c>
      <c r="C66" t="s">
        <v>8</v>
      </c>
      <c r="D66" t="s">
        <v>26</v>
      </c>
      <c r="E66" t="s">
        <v>57</v>
      </c>
    </row>
    <row r="67" spans="2:5" x14ac:dyDescent="0.25">
      <c r="B67" s="2" t="s">
        <v>60</v>
      </c>
      <c r="C67">
        <v>30</v>
      </c>
      <c r="D67">
        <v>10</v>
      </c>
      <c r="E67">
        <v>40</v>
      </c>
    </row>
    <row r="68" spans="2:5" x14ac:dyDescent="0.25">
      <c r="B68" s="2" t="s">
        <v>59</v>
      </c>
      <c r="C68">
        <v>32</v>
      </c>
      <c r="D68">
        <v>8</v>
      </c>
      <c r="E68">
        <v>40</v>
      </c>
    </row>
    <row r="69" spans="2:5" x14ac:dyDescent="0.25">
      <c r="B69" s="2" t="s">
        <v>146</v>
      </c>
      <c r="C69">
        <v>17</v>
      </c>
      <c r="E69">
        <v>17</v>
      </c>
    </row>
    <row r="70" spans="2:5" x14ac:dyDescent="0.25">
      <c r="B70" s="2" t="s">
        <v>65</v>
      </c>
      <c r="C70">
        <v>12</v>
      </c>
      <c r="E70">
        <v>12</v>
      </c>
    </row>
    <row r="71" spans="2:5" x14ac:dyDescent="0.25">
      <c r="B71" s="2" t="s">
        <v>149</v>
      </c>
      <c r="C71">
        <v>2</v>
      </c>
      <c r="E71">
        <v>2</v>
      </c>
    </row>
    <row r="72" spans="2:5" x14ac:dyDescent="0.25">
      <c r="B72" s="2" t="s">
        <v>649</v>
      </c>
      <c r="C72">
        <v>1</v>
      </c>
      <c r="E72">
        <v>1</v>
      </c>
    </row>
    <row r="73" spans="2:5" x14ac:dyDescent="0.25">
      <c r="B73" s="2" t="s">
        <v>79</v>
      </c>
      <c r="C73">
        <v>1</v>
      </c>
      <c r="E73">
        <v>1</v>
      </c>
    </row>
    <row r="74" spans="2:5" x14ac:dyDescent="0.25">
      <c r="B74" s="2" t="s">
        <v>57</v>
      </c>
      <c r="C74">
        <v>95</v>
      </c>
      <c r="D74">
        <v>18</v>
      </c>
      <c r="E74">
        <v>113</v>
      </c>
    </row>
  </sheetData>
  <mergeCells count="6">
    <mergeCell ref="J1:K1"/>
    <mergeCell ref="B2:C2"/>
    <mergeCell ref="B35:C35"/>
    <mergeCell ref="B61:C61"/>
    <mergeCell ref="B51:C51"/>
    <mergeCell ref="B12:C12"/>
  </mergeCells>
  <pageMargins left="0.7" right="0.7" top="0.75" bottom="0.75" header="0.3" footer="0.3"/>
  <pageSetup paperSize="9"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2FE2F-4592-4C00-8559-B8B329B3989C}">
  <sheetPr codeName="Hoja4"/>
  <dimension ref="A1:L39"/>
  <sheetViews>
    <sheetView showGridLines="0" workbookViewId="0">
      <pane ySplit="1" topLeftCell="A2" activePane="bottomLeft" state="frozen"/>
      <selection activeCell="A2" sqref="A2"/>
      <selection pane="bottomLeft" activeCell="C14" sqref="C14"/>
    </sheetView>
  </sheetViews>
  <sheetFormatPr baseColWidth="10" defaultRowHeight="15" x14ac:dyDescent="0.25"/>
  <cols>
    <col min="1" max="2" width="11.42578125" style="14"/>
    <col min="3" max="3" width="11.42578125" style="14" customWidth="1"/>
    <col min="4" max="4" width="31" style="14" customWidth="1"/>
    <col min="5" max="5" width="35.140625" style="14" bestFit="1" customWidth="1"/>
    <col min="6" max="6" width="11.42578125" style="14"/>
    <col min="7" max="7" width="35.5703125" style="14" bestFit="1" customWidth="1"/>
    <col min="8" max="8" width="5.85546875" style="14" bestFit="1" customWidth="1"/>
    <col min="9" max="9" width="33.85546875" style="14" bestFit="1" customWidth="1"/>
    <col min="10" max="10" width="49.5703125" style="14" bestFit="1" customWidth="1"/>
    <col min="11" max="11" width="11.42578125" style="14"/>
    <col min="12" max="12" width="18" style="14" bestFit="1" customWidth="1"/>
    <col min="13" max="16384" width="11.42578125" style="14"/>
  </cols>
  <sheetData>
    <row r="1" spans="1:12" x14ac:dyDescent="0.25">
      <c r="A1" s="16" t="s">
        <v>103</v>
      </c>
      <c r="C1" s="16" t="s">
        <v>89</v>
      </c>
      <c r="D1" s="17" t="s">
        <v>91</v>
      </c>
      <c r="E1" s="16" t="s">
        <v>90</v>
      </c>
      <c r="G1" s="18" t="s">
        <v>97</v>
      </c>
      <c r="H1" s="18" t="s">
        <v>93</v>
      </c>
      <c r="I1" s="18" t="s">
        <v>63</v>
      </c>
      <c r="J1" s="18" t="s">
        <v>64</v>
      </c>
      <c r="L1" s="40" t="s">
        <v>130</v>
      </c>
    </row>
    <row r="2" spans="1:12" x14ac:dyDescent="0.25">
      <c r="A2" s="19">
        <v>44538</v>
      </c>
      <c r="C2" s="6" t="s">
        <v>23</v>
      </c>
      <c r="D2" s="14" t="s">
        <v>81</v>
      </c>
      <c r="E2" s="14" t="str">
        <f t="shared" ref="E2:E18" si="0">UPPER(D2)</f>
        <v>PAULA GINETH CASTILLO CRUZ</v>
      </c>
      <c r="G2" s="14" t="str">
        <f t="shared" ref="G2:G14" si="1">CONCATENATE($H2,"-",$I2)</f>
        <v>1-NOVEDADES APORTES DE CESANTIAS</v>
      </c>
      <c r="H2" s="14">
        <v>1</v>
      </c>
      <c r="I2" s="14" t="s">
        <v>8</v>
      </c>
      <c r="J2" s="14" t="s">
        <v>94</v>
      </c>
      <c r="L2" s="14" t="s">
        <v>45</v>
      </c>
    </row>
    <row r="3" spans="1:12" x14ac:dyDescent="0.25">
      <c r="A3" s="19">
        <v>44555</v>
      </c>
      <c r="C3" s="6" t="s">
        <v>13</v>
      </c>
      <c r="D3" s="14" t="s">
        <v>82</v>
      </c>
      <c r="E3" s="14" t="str">
        <f t="shared" si="0"/>
        <v>ALBEIRO ALFONSO BABATIVA JIMENEZ</v>
      </c>
      <c r="G3" s="14" t="str">
        <f t="shared" si="1"/>
        <v>2-NOVEDADES APORTES DE CESANTIAS</v>
      </c>
      <c r="H3" s="14">
        <v>2</v>
      </c>
      <c r="I3" s="14" t="s">
        <v>8</v>
      </c>
      <c r="J3" s="14" t="s">
        <v>47</v>
      </c>
    </row>
    <row r="4" spans="1:12" x14ac:dyDescent="0.25">
      <c r="A4" s="19">
        <v>44562</v>
      </c>
      <c r="C4" s="6" t="s">
        <v>15</v>
      </c>
      <c r="D4" s="14" t="s">
        <v>83</v>
      </c>
      <c r="E4" s="14" t="str">
        <f t="shared" si="0"/>
        <v>BREIDY JULIETH QUIROGA NOGUERA</v>
      </c>
      <c r="G4" s="14" t="str">
        <f t="shared" si="1"/>
        <v>3-NOVEDADES APORTES DE CESANTIAS</v>
      </c>
      <c r="H4" s="14">
        <v>3</v>
      </c>
      <c r="I4" s="14" t="s">
        <v>8</v>
      </c>
      <c r="J4" s="14" t="s">
        <v>46</v>
      </c>
    </row>
    <row r="5" spans="1:12" x14ac:dyDescent="0.25">
      <c r="A5" s="19">
        <v>44571</v>
      </c>
      <c r="C5" s="6" t="s">
        <v>18</v>
      </c>
      <c r="D5" s="14" t="s">
        <v>84</v>
      </c>
      <c r="E5" s="14" t="str">
        <f t="shared" si="0"/>
        <v>CAMILO ANDRES OLARTE DIAZ</v>
      </c>
      <c r="G5" s="14" t="str">
        <f t="shared" si="1"/>
        <v>4-NOVEDADES APORTES DE CESANTIAS</v>
      </c>
      <c r="H5" s="14">
        <v>4</v>
      </c>
      <c r="I5" s="14" t="s">
        <v>8</v>
      </c>
      <c r="J5" s="14" t="s">
        <v>99</v>
      </c>
    </row>
    <row r="6" spans="1:12" x14ac:dyDescent="0.25">
      <c r="A6" s="19">
        <v>44641</v>
      </c>
      <c r="C6" s="6" t="s">
        <v>11</v>
      </c>
      <c r="D6" s="14" t="s">
        <v>85</v>
      </c>
      <c r="E6" s="14" t="str">
        <f t="shared" si="0"/>
        <v>KELLY JOHANNA RIVERA SIERRA</v>
      </c>
      <c r="G6" s="14" t="str">
        <f t="shared" si="1"/>
        <v>5-NOVEDADES APORTES DE CESANTIAS</v>
      </c>
      <c r="H6" s="14">
        <v>5</v>
      </c>
      <c r="I6" s="14" t="s">
        <v>8</v>
      </c>
      <c r="J6" s="14" t="s">
        <v>66</v>
      </c>
    </row>
    <row r="7" spans="1:12" x14ac:dyDescent="0.25">
      <c r="A7" s="19">
        <v>44665</v>
      </c>
      <c r="C7" s="6" t="s">
        <v>16</v>
      </c>
      <c r="D7" s="14" t="s">
        <v>86</v>
      </c>
      <c r="E7" s="14" t="str">
        <f t="shared" si="0"/>
        <v>HANS OCAMPO FISCAL</v>
      </c>
      <c r="G7" s="14" t="str">
        <f t="shared" si="1"/>
        <v>6-NOVEDADES APORTES DE CESANTIAS</v>
      </c>
      <c r="H7" s="14">
        <v>6</v>
      </c>
      <c r="I7" s="14" t="s">
        <v>8</v>
      </c>
      <c r="J7" s="14" t="s">
        <v>50</v>
      </c>
    </row>
    <row r="8" spans="1:12" x14ac:dyDescent="0.25">
      <c r="A8" s="19">
        <v>44666</v>
      </c>
      <c r="C8" s="6" t="s">
        <v>17</v>
      </c>
      <c r="D8" s="15" t="s">
        <v>87</v>
      </c>
      <c r="E8" s="14" t="str">
        <f t="shared" si="0"/>
        <v>JHONIER JAMES LEON GUZMAN</v>
      </c>
      <c r="G8" s="14" t="str">
        <f t="shared" si="1"/>
        <v>7-NOVEDADES APORTES DE CESANTIAS</v>
      </c>
      <c r="H8" s="14">
        <v>7</v>
      </c>
      <c r="I8" s="14" t="s">
        <v>8</v>
      </c>
      <c r="J8" s="14" t="s">
        <v>49</v>
      </c>
    </row>
    <row r="9" spans="1:12" x14ac:dyDescent="0.25">
      <c r="A9" s="19">
        <v>44711</v>
      </c>
      <c r="C9" s="6" t="s">
        <v>22</v>
      </c>
      <c r="D9" s="14" t="s">
        <v>88</v>
      </c>
      <c r="E9" s="14" t="str">
        <f t="shared" si="0"/>
        <v>MAYRA JOHANNA ESPEJO VASQUEZ</v>
      </c>
      <c r="G9" s="14" t="str">
        <f t="shared" si="1"/>
        <v>8-NOVEDADES APORTES DE CESANTIAS</v>
      </c>
      <c r="H9" s="14">
        <v>8</v>
      </c>
      <c r="I9" s="14" t="s">
        <v>8</v>
      </c>
      <c r="J9" s="14" t="s">
        <v>96</v>
      </c>
    </row>
    <row r="10" spans="1:12" x14ac:dyDescent="0.25">
      <c r="A10" s="19">
        <v>44732</v>
      </c>
      <c r="C10" s="6" t="s">
        <v>61</v>
      </c>
      <c r="D10" s="14" t="s">
        <v>92</v>
      </c>
      <c r="E10" s="14" t="str">
        <f t="shared" si="0"/>
        <v>PRUEBAS</v>
      </c>
      <c r="G10" s="14" t="str">
        <f t="shared" si="1"/>
        <v>1-DEVOLUCION DE APORTES</v>
      </c>
      <c r="H10" s="14">
        <v>1</v>
      </c>
      <c r="I10" s="14" t="s">
        <v>26</v>
      </c>
      <c r="J10" s="14" t="s">
        <v>94</v>
      </c>
    </row>
    <row r="11" spans="1:12" x14ac:dyDescent="0.25">
      <c r="A11" s="19">
        <v>44739</v>
      </c>
      <c r="C11" s="6" t="s">
        <v>109</v>
      </c>
      <c r="D11" s="14" t="s">
        <v>123</v>
      </c>
      <c r="E11" s="14" t="str">
        <f t="shared" si="0"/>
        <v>ABDON ARMANDO RODRIGUEZ HERRERA</v>
      </c>
      <c r="G11" s="14" t="str">
        <f t="shared" si="1"/>
        <v>2-DEVOLUCION DE APORTES</v>
      </c>
      <c r="H11" s="14">
        <v>2</v>
      </c>
      <c r="I11" s="14" t="s">
        <v>26</v>
      </c>
      <c r="J11" s="14" t="s">
        <v>47</v>
      </c>
    </row>
    <row r="12" spans="1:12" x14ac:dyDescent="0.25">
      <c r="A12" s="19">
        <v>44746</v>
      </c>
      <c r="C12" s="14" t="s">
        <v>119</v>
      </c>
      <c r="D12" s="14" t="s">
        <v>122</v>
      </c>
      <c r="E12" s="45" t="str">
        <f t="shared" si="0"/>
        <v>EMELY ALEJANDRA FLOREZ ALVAREZ</v>
      </c>
      <c r="G12" s="14" t="str">
        <f t="shared" si="1"/>
        <v>3-DEVOLUCION DE APORTES</v>
      </c>
      <c r="H12" s="14">
        <v>3</v>
      </c>
      <c r="I12" s="14" t="s">
        <v>26</v>
      </c>
      <c r="J12" s="14" t="s">
        <v>46</v>
      </c>
    </row>
    <row r="13" spans="1:12" x14ac:dyDescent="0.25">
      <c r="A13" s="19">
        <v>44762</v>
      </c>
      <c r="C13" s="14" t="s">
        <v>21</v>
      </c>
      <c r="D13" s="14" t="s">
        <v>126</v>
      </c>
      <c r="E13" s="14" t="str">
        <f t="shared" si="0"/>
        <v>JOSE LUIS RAMIREZ VELA</v>
      </c>
      <c r="G13" s="14" t="str">
        <f t="shared" si="1"/>
        <v>4-DEVOLUCION DE APORTES</v>
      </c>
      <c r="H13" s="14">
        <v>4</v>
      </c>
      <c r="I13" s="14" t="s">
        <v>26</v>
      </c>
      <c r="J13" s="14" t="s">
        <v>99</v>
      </c>
    </row>
    <row r="14" spans="1:12" x14ac:dyDescent="0.25">
      <c r="A14" s="19">
        <v>44788</v>
      </c>
      <c r="C14" s="14" t="s">
        <v>75</v>
      </c>
      <c r="D14" s="14" t="s">
        <v>127</v>
      </c>
      <c r="E14" s="14" t="str">
        <f t="shared" si="0"/>
        <v>LEDHER JULIAN MARTIN SIERRA CRISTANCHO</v>
      </c>
      <c r="G14" s="14" t="str">
        <f t="shared" si="1"/>
        <v>5-DEVOLUCION DE APORTES</v>
      </c>
      <c r="H14" s="14">
        <v>5</v>
      </c>
      <c r="I14" s="14" t="s">
        <v>26</v>
      </c>
      <c r="J14" s="14" t="s">
        <v>66</v>
      </c>
    </row>
    <row r="15" spans="1:12" x14ac:dyDescent="0.25">
      <c r="A15" s="19">
        <v>44851</v>
      </c>
      <c r="C15" s="14" t="s">
        <v>125</v>
      </c>
      <c r="D15" s="14" t="s">
        <v>128</v>
      </c>
      <c r="E15" s="14" t="str">
        <f t="shared" si="0"/>
        <v>ANDREA YANETH GODOY MURCIA</v>
      </c>
      <c r="G15" s="26" t="s">
        <v>115</v>
      </c>
      <c r="H15" s="26">
        <v>6</v>
      </c>
      <c r="I15" s="26" t="s">
        <v>26</v>
      </c>
      <c r="J15" s="26" t="s">
        <v>116</v>
      </c>
    </row>
    <row r="16" spans="1:12" x14ac:dyDescent="0.25">
      <c r="A16" s="19">
        <v>44872</v>
      </c>
      <c r="C16" s="14" t="s">
        <v>124</v>
      </c>
      <c r="D16" s="14" t="s">
        <v>129</v>
      </c>
      <c r="E16" s="14" t="str">
        <f t="shared" si="0"/>
        <v>DIANA MILENA CASTRO SANCHEZ</v>
      </c>
      <c r="G16" s="14" t="str">
        <f t="shared" ref="G16:G39" si="2">CONCATENATE($H16,"-",$I16)</f>
        <v>6-DEVOLUCION DE APORTES</v>
      </c>
      <c r="H16" s="14">
        <v>6</v>
      </c>
      <c r="I16" s="14" t="s">
        <v>26</v>
      </c>
      <c r="J16" s="14" t="s">
        <v>102</v>
      </c>
    </row>
    <row r="17" spans="1:10" x14ac:dyDescent="0.25">
      <c r="A17" s="19">
        <v>44879</v>
      </c>
      <c r="C17" s="14" t="s">
        <v>76</v>
      </c>
      <c r="D17" s="14" t="s">
        <v>136</v>
      </c>
      <c r="E17" s="14" t="str">
        <f t="shared" si="0"/>
        <v>OSCAR RAMIRO REYES PRADA</v>
      </c>
      <c r="G17" s="14" t="str">
        <f t="shared" si="2"/>
        <v>7-DEVOLUCION DE APORTES</v>
      </c>
      <c r="H17" s="14">
        <v>7</v>
      </c>
      <c r="I17" s="14" t="s">
        <v>26</v>
      </c>
      <c r="J17" s="14" t="s">
        <v>50</v>
      </c>
    </row>
    <row r="18" spans="1:10" x14ac:dyDescent="0.25">
      <c r="A18" s="19">
        <v>44903</v>
      </c>
      <c r="C18" s="14" t="s">
        <v>137</v>
      </c>
      <c r="D18" s="14" t="s">
        <v>143</v>
      </c>
      <c r="E18" s="14" t="str">
        <f t="shared" si="0"/>
        <v>LUZ ANGELA SUAREZ APARICIO</v>
      </c>
      <c r="G18" s="14" t="str">
        <f t="shared" si="2"/>
        <v>8-DEVOLUCION DE APORTES</v>
      </c>
      <c r="H18" s="14">
        <v>8</v>
      </c>
      <c r="I18" s="14" t="s">
        <v>26</v>
      </c>
      <c r="J18" s="14" t="s">
        <v>48</v>
      </c>
    </row>
    <row r="19" spans="1:10" x14ac:dyDescent="0.25">
      <c r="A19" s="19">
        <v>44920</v>
      </c>
      <c r="G19" s="14" t="str">
        <f t="shared" si="2"/>
        <v>9-DEVOLUCION DE APORTES</v>
      </c>
      <c r="H19" s="14">
        <v>9</v>
      </c>
      <c r="I19" s="14" t="s">
        <v>26</v>
      </c>
      <c r="J19" s="14" t="s">
        <v>118</v>
      </c>
    </row>
    <row r="20" spans="1:10" x14ac:dyDescent="0.25">
      <c r="G20" s="14" t="str">
        <f t="shared" si="2"/>
        <v>10-DEVOLUCION DE APORTES</v>
      </c>
      <c r="H20" s="14">
        <v>10</v>
      </c>
      <c r="I20" s="14" t="s">
        <v>26</v>
      </c>
      <c r="J20" s="14" t="s">
        <v>49</v>
      </c>
    </row>
    <row r="21" spans="1:10" x14ac:dyDescent="0.25">
      <c r="G21" s="14" t="str">
        <f t="shared" si="2"/>
        <v>11-DEVOLUCION DE APORTES</v>
      </c>
      <c r="H21" s="14">
        <v>11</v>
      </c>
      <c r="I21" s="14" t="s">
        <v>26</v>
      </c>
      <c r="J21" s="14" t="s">
        <v>96</v>
      </c>
    </row>
    <row r="22" spans="1:10" x14ac:dyDescent="0.25">
      <c r="C22"/>
      <c r="G22" s="14" t="str">
        <f t="shared" si="2"/>
        <v>1-NOVEDADES AVC MONETARIAS</v>
      </c>
      <c r="H22" s="14">
        <v>1</v>
      </c>
      <c r="I22" s="14" t="s">
        <v>27</v>
      </c>
      <c r="J22" s="14" t="s">
        <v>94</v>
      </c>
    </row>
    <row r="23" spans="1:10" x14ac:dyDescent="0.25">
      <c r="C23"/>
      <c r="G23" s="14" t="str">
        <f t="shared" si="2"/>
        <v>2-NOVEDADES AVC MONETARIAS</v>
      </c>
      <c r="H23" s="14">
        <v>2</v>
      </c>
      <c r="I23" s="14" t="s">
        <v>27</v>
      </c>
      <c r="J23" s="14" t="s">
        <v>47</v>
      </c>
    </row>
    <row r="24" spans="1:10" x14ac:dyDescent="0.25">
      <c r="C24"/>
      <c r="G24" s="26" t="str">
        <f t="shared" si="2"/>
        <v>3-NOVEDADES AVC MONETARIAS</v>
      </c>
      <c r="H24" s="26">
        <v>3</v>
      </c>
      <c r="I24" s="26" t="s">
        <v>27</v>
      </c>
      <c r="J24" s="26" t="s">
        <v>118</v>
      </c>
    </row>
    <row r="25" spans="1:10" x14ac:dyDescent="0.25">
      <c r="C25"/>
      <c r="G25" s="14" t="str">
        <f t="shared" si="2"/>
        <v>4-NOVEDADES AVC MONETARIAS</v>
      </c>
      <c r="H25" s="14">
        <v>4</v>
      </c>
      <c r="I25" s="14" t="s">
        <v>27</v>
      </c>
      <c r="J25" s="14" t="s">
        <v>50</v>
      </c>
    </row>
    <row r="26" spans="1:10" x14ac:dyDescent="0.25">
      <c r="C26"/>
      <c r="D26"/>
      <c r="G26" s="14" t="str">
        <f t="shared" si="2"/>
        <v>5-NOVEDADES AVC MONETARIAS</v>
      </c>
      <c r="H26" s="14">
        <v>5</v>
      </c>
      <c r="I26" s="14" t="s">
        <v>27</v>
      </c>
      <c r="J26" s="14" t="s">
        <v>96</v>
      </c>
    </row>
    <row r="27" spans="1:10" x14ac:dyDescent="0.25">
      <c r="C27"/>
      <c r="D27"/>
      <c r="G27" s="14" t="str">
        <f t="shared" si="2"/>
        <v>1-PQRD V3</v>
      </c>
      <c r="H27" s="14">
        <v>1</v>
      </c>
      <c r="I27" s="14" t="s">
        <v>28</v>
      </c>
      <c r="J27" s="14" t="s">
        <v>94</v>
      </c>
    </row>
    <row r="28" spans="1:10" x14ac:dyDescent="0.25">
      <c r="C28"/>
      <c r="D28"/>
      <c r="G28" s="14" t="str">
        <f t="shared" si="2"/>
        <v>2-PQRD V3</v>
      </c>
      <c r="H28" s="14">
        <v>2</v>
      </c>
      <c r="I28" s="14" t="s">
        <v>28</v>
      </c>
      <c r="J28" s="14" t="s">
        <v>47</v>
      </c>
    </row>
    <row r="29" spans="1:10" x14ac:dyDescent="0.25">
      <c r="C29"/>
      <c r="D29"/>
      <c r="G29" s="14" t="str">
        <f t="shared" si="2"/>
        <v>3-PQRD V3</v>
      </c>
      <c r="H29" s="14">
        <v>3</v>
      </c>
      <c r="I29" s="14" t="s">
        <v>28</v>
      </c>
      <c r="J29" s="14" t="s">
        <v>47</v>
      </c>
    </row>
    <row r="30" spans="1:10" x14ac:dyDescent="0.25">
      <c r="C30"/>
      <c r="D30"/>
      <c r="G30" s="14" t="str">
        <f t="shared" si="2"/>
        <v>4-PQRD V3</v>
      </c>
      <c r="H30" s="14">
        <v>4</v>
      </c>
      <c r="I30" s="14" t="s">
        <v>28</v>
      </c>
      <c r="J30" s="14" t="s">
        <v>95</v>
      </c>
    </row>
    <row r="31" spans="1:10" x14ac:dyDescent="0.25">
      <c r="C31"/>
      <c r="D31"/>
      <c r="G31" s="14" t="str">
        <f t="shared" si="2"/>
        <v>5-PQRD V3</v>
      </c>
      <c r="H31" s="14">
        <v>5</v>
      </c>
      <c r="I31" s="14" t="s">
        <v>28</v>
      </c>
      <c r="J31" s="14" t="s">
        <v>96</v>
      </c>
    </row>
    <row r="32" spans="1:10" x14ac:dyDescent="0.25">
      <c r="C32"/>
      <c r="D32"/>
      <c r="G32" s="14" t="str">
        <f t="shared" si="2"/>
        <v>1-CONCILIACION SGP</v>
      </c>
      <c r="H32" s="14">
        <v>1</v>
      </c>
      <c r="I32" s="14" t="s">
        <v>68</v>
      </c>
      <c r="J32" s="14" t="s">
        <v>94</v>
      </c>
    </row>
    <row r="33" spans="4:10" x14ac:dyDescent="0.25">
      <c r="D33"/>
      <c r="G33" s="14" t="str">
        <f t="shared" si="2"/>
        <v>2-CONCILIACION SGP</v>
      </c>
      <c r="H33" s="14">
        <v>2</v>
      </c>
      <c r="I33" s="14" t="s">
        <v>68</v>
      </c>
      <c r="J33" s="14" t="s">
        <v>47</v>
      </c>
    </row>
    <row r="34" spans="4:10" x14ac:dyDescent="0.25">
      <c r="D34"/>
      <c r="G34" s="14" t="str">
        <f t="shared" si="2"/>
        <v>3-CONCILIACION SGP</v>
      </c>
      <c r="H34" s="14">
        <v>3</v>
      </c>
      <c r="I34" s="14" t="s">
        <v>68</v>
      </c>
      <c r="J34" s="14" t="s">
        <v>98</v>
      </c>
    </row>
    <row r="35" spans="4:10" x14ac:dyDescent="0.25">
      <c r="G35" s="14" t="str">
        <f t="shared" si="2"/>
        <v>4-CONCILIACION SGP</v>
      </c>
      <c r="H35" s="14">
        <v>4</v>
      </c>
      <c r="I35" s="14" t="s">
        <v>68</v>
      </c>
      <c r="J35" s="14" t="s">
        <v>99</v>
      </c>
    </row>
    <row r="36" spans="4:10" x14ac:dyDescent="0.25">
      <c r="G36" s="14" t="str">
        <f t="shared" si="2"/>
        <v>5-CONCILIACION SGP</v>
      </c>
      <c r="H36" s="14">
        <v>5</v>
      </c>
      <c r="I36" s="14" t="s">
        <v>68</v>
      </c>
      <c r="J36" s="14" t="s">
        <v>100</v>
      </c>
    </row>
    <row r="37" spans="4:10" x14ac:dyDescent="0.25">
      <c r="G37" s="14" t="str">
        <f t="shared" si="2"/>
        <v>6-CONCILIACION SGP</v>
      </c>
      <c r="H37" s="14">
        <v>6</v>
      </c>
      <c r="I37" s="14" t="s">
        <v>68</v>
      </c>
      <c r="J37" s="14" t="s">
        <v>101</v>
      </c>
    </row>
    <row r="38" spans="4:10" x14ac:dyDescent="0.25">
      <c r="G38" s="14" t="str">
        <f t="shared" si="2"/>
        <v>7-CONCILIACION SGP</v>
      </c>
      <c r="H38" s="14">
        <v>7</v>
      </c>
      <c r="I38" s="14" t="s">
        <v>68</v>
      </c>
      <c r="J38" s="14" t="s">
        <v>49</v>
      </c>
    </row>
    <row r="39" spans="4:10" x14ac:dyDescent="0.25">
      <c r="G39" s="14" t="str">
        <f t="shared" si="2"/>
        <v>8-CONCILIACION SGP</v>
      </c>
      <c r="H39" s="14">
        <v>8</v>
      </c>
      <c r="I39" s="14" t="s">
        <v>68</v>
      </c>
      <c r="J39" s="14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Informacion</vt:lpstr>
      <vt:lpstr>Data Anterior</vt:lpstr>
      <vt:lpstr>Data</vt:lpstr>
      <vt:lpstr>Resumen</vt:lpstr>
      <vt:lpstr>Festivos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Ernesto Pulido Cortes</dc:creator>
  <cp:lastModifiedBy>Daniel Ernesto Pulido Cortes</cp:lastModifiedBy>
  <dcterms:created xsi:type="dcterms:W3CDTF">2022-03-08T13:52:08Z</dcterms:created>
  <dcterms:modified xsi:type="dcterms:W3CDTF">2022-04-04T17:33:42Z</dcterms:modified>
</cp:coreProperties>
</file>